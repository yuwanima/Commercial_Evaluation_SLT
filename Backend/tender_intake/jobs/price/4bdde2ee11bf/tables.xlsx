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ndardized Lines" sheetId="2" state="visible" r:id="rId2"/>
    <sheet xmlns:r="http://schemas.openxmlformats.org/officeDocument/2006/relationships" name="Raw Tables" sheetId="3" state="visible" r:id="rId3"/>
    <sheet xmlns:r="http://schemas.openxmlformats.org/officeDocument/2006/relationships" name="Extraction Log" sheetId="4" state="visible" r:id="rId4"/>
  </sheets>
  <definedNames>
    <definedName name="_xlnm._FilterDatabase" localSheetId="1" hidden="1">'Standardized Lines'!$A$4:$AC$11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7F6000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4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8" fillId="4" borderId="1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4" fontId="6" fillId="3" borderId="1" applyAlignment="1" pivotButton="0" quotePrefix="0" xfId="0">
      <alignment vertical="top" wrapText="1"/>
    </xf>
    <xf numFmtId="0" fontId="1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4" fontId="4" fillId="3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name val="Arial"/>
        <b val="1"/>
        <color rgb="00C00000"/>
      </font>
    </dxf>
    <dxf>
      <font>
        <name val="Arial"/>
        <color rgb="002E7D32"/>
      </font>
    </dxf>
    <dxf>
      <font>
        <name val="Arial"/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45F06"/>
    <outlinePr summaryBelow="1" summaryRight="1"/>
    <pageSetUpPr fitToPage="1"/>
  </sheetPr>
  <dimension ref="A1:M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18" customWidth="1" min="4" max="4"/>
    <col width="7" customWidth="1" min="5" max="5"/>
    <col width="10" customWidth="1" min="6" max="6"/>
    <col width="18" customWidth="1" min="7" max="7"/>
    <col width="20" customWidth="1" min="8" max="8"/>
    <col width="16" customWidth="1" min="9" max="9"/>
    <col width="30" customWidth="1" min="10" max="10"/>
    <col width="12" customWidth="1" min="11" max="11"/>
    <col width="14" customWidth="1" min="12" max="12"/>
    <col width="70" customWidth="1" min="13" max="13"/>
  </cols>
  <sheetData>
    <row r="1">
      <c r="A1" s="1" t="inlineStr">
        <is>
          <t>Price Schedule Summary</t>
        </is>
      </c>
    </row>
    <row r="2">
      <c r="A2" s="2" t="inlineStr">
        <is>
          <t>Supplier names can be edited here (column B) - they flow into 'Standardized Lines'. Totals are formulas over the Standardized Lines sheet.</t>
        </is>
      </c>
    </row>
    <row r="3">
      <c r="A3" s="3" t="inlineStr">
        <is>
          <t>Tax method for 'calculated' unit price:</t>
        </is>
      </c>
      <c r="B3" s="4" t="inlineStr">
        <is>
          <t>NBT first then VAT</t>
        </is>
      </c>
      <c r="C3" s="2" t="inlineStr">
        <is>
          <t>Used only to cross-check quoted prices and when a quote shows no tax-inclusive price. 'NBT first then VAT' = price x (1+NBT) x (1+VAT) x (1+other); 'Sum of rates' = price x (1+(VAT+NBT+other)). Choose the method that matches the tender conditions.</t>
        </is>
      </c>
    </row>
    <row r="4" ht="44" customHeight="1">
      <c r="A4" s="5" t="inlineStr">
        <is>
          <t>File</t>
        </is>
      </c>
      <c r="B4" s="5" t="inlineStr">
        <is>
          <t>Supplier (editable)</t>
        </is>
      </c>
      <c r="C4" s="5" t="inlineStr">
        <is>
          <t>Tender No</t>
        </is>
      </c>
      <c r="D4" s="5" t="inlineStr">
        <is>
          <t>Read by</t>
        </is>
      </c>
      <c r="E4" s="5" t="inlineStr">
        <is>
          <t>Pages</t>
        </is>
      </c>
      <c r="F4" s="5" t="inlineStr">
        <is>
          <t>Item lines</t>
        </is>
      </c>
      <c r="G4" s="5" t="inlineStr">
        <is>
          <t>Total - Local (A)</t>
        </is>
      </c>
      <c r="H4" s="5" t="inlineStr">
        <is>
          <t>Total - Foreign (B, CIF/CIP)</t>
        </is>
      </c>
      <c r="I4" s="5" t="inlineStr">
        <is>
          <t>Total - Other</t>
        </is>
      </c>
      <c r="J4" s="5" t="inlineStr">
        <is>
          <t>Total rows printed in document</t>
        </is>
      </c>
      <c r="K4" s="5" t="inlineStr">
        <is>
          <t>Lines flagged CHECK</t>
        </is>
      </c>
      <c r="L4" s="5" t="inlineStr">
        <is>
          <t>Low-confidence OCR cells</t>
        </is>
      </c>
      <c r="M4" s="5" t="inlineStr">
        <is>
          <t>Notes</t>
        </is>
      </c>
    </row>
    <row r="5" ht="30" customHeight="1">
      <c r="A5" s="6" t="inlineStr">
        <is>
          <t>price_filled.docx</t>
        </is>
      </c>
      <c r="B5" s="7" t="inlineStr">
        <is>
          <t>price_filled</t>
        </is>
      </c>
      <c r="C5" s="6" t="inlineStr">
        <is>
          <t>SCMD/RSS/2026/014</t>
        </is>
      </c>
      <c r="D5" s="6" t="inlineStr">
        <is>
          <t>Word table</t>
        </is>
      </c>
      <c r="E5" s="6" t="n">
        <v>1</v>
      </c>
      <c r="F5" s="8">
        <f>COUNTIFS('Standardized Lines'!$A$5:$A$2000,$A5,'Standardized Lines'!$AA$5:$AA$2000,"Item")</f>
        <v/>
      </c>
      <c r="G5" s="9">
        <f>SUMIFS('Standardized Lines'!$W$5:$W$2000,'Standardized Lines'!$A$5:$A$2000,$A5,'Standardized Lines'!$C$5:$C$2000,"A Local",'Standardized Lines'!$AA$5:$AA$2000,"Item")</f>
        <v/>
      </c>
      <c r="H5" s="9">
        <f>SUMIFS('Standardized Lines'!$W$5:$W$2000,'Standardized Lines'!$A$5:$A$2000,$A5,'Standardized Lines'!$C$5:$C$2000,"B Foreign",'Standardized Lines'!$AA$5:$AA$2000,"Item")</f>
        <v/>
      </c>
      <c r="I5" s="9">
        <f>SUMIFS('Standardized Lines'!$W$5:$W$2000,'Standardized Lines'!$A$5:$A$2000,$A5,'Standardized Lines'!$C$5:$C$2000,"Other",'Standardized Lines'!$AA$5:$AA$2000,"Item")</f>
        <v/>
      </c>
      <c r="J5" s="6" t="inlineStr">
        <is>
          <t>A: 14,021,796.00 LKR</t>
        </is>
      </c>
      <c r="K5" s="8">
        <f>COUNTIFS('Standardized Lines'!$A$5:$A$2000,$A5,'Standardized Lines'!$Y$5:$Y$2000,"CHECK*")</f>
        <v/>
      </c>
      <c r="L5" s="6" t="n">
        <v>0</v>
      </c>
      <c r="M5" s="6" t="inlineStr">
        <is>
          <t>Supplier name not found in the document - the file name is used; please correct it in the Summary sheet.</t>
        </is>
      </c>
    </row>
  </sheetData>
  <conditionalFormatting sqref="K5">
    <cfRule type="expression" priority="1" dxfId="0">
      <formula>K5&gt;0</formula>
    </cfRule>
  </conditionalFormatting>
  <dataValidations count="1">
    <dataValidation sqref="B3" showDropDown="0" showInputMessage="0" showErrorMessage="1" allowBlank="0" type="list">
      <formula1>"NBT first then VAT,Sum of rates"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B45F06"/>
    <outlinePr summaryBelow="1" summaryRight="1"/>
    <pageSetUpPr fitToPage="1"/>
  </sheetPr>
  <dimension ref="A1:AC11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7" customWidth="1" min="4" max="4"/>
    <col width="46" customWidth="1" min="5" max="5"/>
    <col width="8" customWidth="1" min="6" max="6"/>
    <col width="8" customWidth="1" min="7" max="7"/>
    <col width="13" customWidth="1" min="8" max="8"/>
    <col width="9" customWidth="1" min="9" max="9"/>
    <col width="15" customWidth="1" min="10" max="10"/>
    <col width="7" customWidth="1" min="11" max="11"/>
    <col width="7" customWidth="1" min="12" max="12"/>
    <col width="8" customWidth="1" min="13" max="13"/>
    <col width="16" customWidth="1" min="14" max="14"/>
    <col width="16" customWidth="1" min="15" max="15"/>
    <col width="14" customWidth="1" min="16" max="16"/>
    <col width="14" customWidth="1" min="17" max="17"/>
    <col width="11" customWidth="1" min="18" max="18"/>
    <col width="11" customWidth="1" min="19" max="19"/>
    <col width="14" customWidth="1" min="20" max="20"/>
    <col width="12" customWidth="1" min="21" max="21"/>
    <col width="15" customWidth="1" min="22" max="22"/>
    <col width="16" customWidth="1" min="23" max="23"/>
    <col width="26" customWidth="1" min="24" max="24"/>
    <col width="34" customWidth="1" min="25" max="25"/>
    <col width="36" customWidth="1" min="26" max="26"/>
    <col width="10" customWidth="1" min="27" max="27"/>
    <col width="6" customWidth="1" min="28" max="28"/>
    <col width="11" customWidth="1" min="29" max="29"/>
  </cols>
  <sheetData>
    <row r="1">
      <c r="A1" s="10" t="inlineStr">
        <is>
          <t>Standardized Lines - all price lines of all uploaded files (edit freely; formulas recalculate)</t>
        </is>
      </c>
    </row>
    <row r="2">
      <c r="A2" s="2" t="inlineStr">
        <is>
          <t>Blue = typed/extracted number | Light-blue = formula | Orange = low-confidence OCR, please verify against the original | 'Check' compares quoted and calculated values (1 percent tolerance). Add rows below the last line - formulas look down to row 2000.</t>
        </is>
      </c>
    </row>
    <row r="4" ht="44" customHeight="1">
      <c r="A4" s="5" t="inlineStr">
        <is>
          <t>File</t>
        </is>
      </c>
      <c r="B4" s="5" t="inlineStr">
        <is>
          <t>Supplier</t>
        </is>
      </c>
      <c r="C4" s="5" t="inlineStr">
        <is>
          <t>Part</t>
        </is>
      </c>
      <c r="D4" s="5" t="inlineStr">
        <is>
          <t>S/No</t>
        </is>
      </c>
      <c r="E4" s="5" t="inlineStr">
        <is>
          <t>Description</t>
        </is>
      </c>
      <c r="F4" s="5" t="inlineStr">
        <is>
          <t>Qty</t>
        </is>
      </c>
      <c r="G4" s="5" t="inlineStr">
        <is>
          <t>Unit</t>
        </is>
      </c>
      <c r="H4" s="5" t="inlineStr">
        <is>
          <t>Country of Origin</t>
        </is>
      </c>
      <c r="I4" s="5" t="inlineStr">
        <is>
          <t>Currency</t>
        </is>
      </c>
      <c r="J4" s="5" t="inlineStr">
        <is>
          <t>Unit Price (excl. taxes)</t>
        </is>
      </c>
      <c r="K4" s="5" t="inlineStr">
        <is>
          <t>VAT %</t>
        </is>
      </c>
      <c r="L4" s="5" t="inlineStr">
        <is>
          <t>NBT %</t>
        </is>
      </c>
      <c r="M4" s="5" t="inlineStr">
        <is>
          <t>Other taxes %</t>
        </is>
      </c>
      <c r="N4" s="5" t="inlineStr">
        <is>
          <t>Unit Price (incl. taxes) - as quoted</t>
        </is>
      </c>
      <c r="O4" s="5" t="inlineStr">
        <is>
          <t>Unit Price (incl. taxes) - calculated</t>
        </is>
      </c>
      <c r="P4" s="5" t="inlineStr">
        <is>
          <t>FOB/FCA Unit Price</t>
        </is>
      </c>
      <c r="Q4" s="5" t="inlineStr">
        <is>
          <t>FOB/FCA Total</t>
        </is>
      </c>
      <c r="R4" s="5" t="inlineStr">
        <is>
          <t>Insurance</t>
        </is>
      </c>
      <c r="S4" s="5" t="inlineStr">
        <is>
          <t>Freight</t>
        </is>
      </c>
      <c r="T4" s="5" t="inlineStr">
        <is>
          <t>CIF/CIP Total</t>
        </is>
      </c>
      <c r="U4" s="5" t="inlineStr">
        <is>
          <t>Agent's Commission</t>
        </is>
      </c>
      <c r="V4" s="5" t="inlineStr">
        <is>
          <t>Amount (as printed)</t>
        </is>
      </c>
      <c r="W4" s="5" t="inlineStr">
        <is>
          <t>LINE TOTAL (calculated)</t>
        </is>
      </c>
      <c r="X4" s="5" t="inlineStr">
        <is>
          <t>Total based on</t>
        </is>
      </c>
      <c r="Y4" s="5" t="inlineStr">
        <is>
          <t>Check</t>
        </is>
      </c>
      <c r="Z4" s="5" t="inlineStr">
        <is>
          <t>Remarks</t>
        </is>
      </c>
      <c r="AA4" s="5" t="inlineStr">
        <is>
          <t>Row type</t>
        </is>
      </c>
      <c r="AB4" s="5" t="inlineStr">
        <is>
          <t>Page</t>
        </is>
      </c>
      <c r="AC4" s="5" t="inlineStr">
        <is>
          <t>Read by</t>
        </is>
      </c>
    </row>
    <row r="5">
      <c r="A5" s="6" t="inlineStr">
        <is>
          <t>price_filled.docx</t>
        </is>
      </c>
      <c r="B5" s="11">
        <f>IFERROR(INDEX(Summary!$B$5:$B$500,MATCH(A5,Summary!$A$5:$A$500,0)),A5)</f>
        <v/>
      </c>
      <c r="C5" s="12" t="inlineStr">
        <is>
          <t>A Local</t>
        </is>
      </c>
      <c r="D5" s="12" t="inlineStr">
        <is>
          <t>1</t>
        </is>
      </c>
      <c r="E5" s="6" t="inlineStr">
        <is>
          <t>Supply, installation &amp; commissioning of 60kVA online UPS
including 3 year warranty</t>
        </is>
      </c>
      <c r="F5" s="13" t="n">
        <v>4</v>
      </c>
      <c r="G5" s="6" t="n"/>
      <c r="H5" s="6" t="n"/>
      <c r="I5" s="12" t="inlineStr">
        <is>
          <t>LKR</t>
        </is>
      </c>
      <c r="J5" s="14" t="n">
        <v>2450000</v>
      </c>
      <c r="K5" s="13" t="n">
        <v>18</v>
      </c>
      <c r="L5" s="13" t="n">
        <v>2</v>
      </c>
      <c r="M5" s="6" t="n"/>
      <c r="N5" s="14" t="n">
        <v>2948820</v>
      </c>
      <c r="O5" s="15">
        <f>IF(AND(ISNUMBER(J5),OR(ISNUMBER(K5),ISNUMBER(L5),ISNUMBER(M5))),IF(Summary!$B$3="Sum of rates",J5*(1+(N(K5)+N(L5)+N(M5))/100),J5*(1+N(L5)/100)*(1+N(K5)/100)*(1+N(M5)/100)),"")</f>
        <v/>
      </c>
      <c r="P5" s="16" t="n"/>
      <c r="Q5" s="16" t="n"/>
      <c r="R5" s="16" t="n"/>
      <c r="S5" s="16" t="n"/>
      <c r="T5" s="16" t="n"/>
      <c r="U5" s="16" t="n"/>
      <c r="V5" s="16" t="n"/>
      <c r="W5" s="9">
        <f>IF(AA5&lt;&gt;"Item","",IF(C5="B Foreign",IF(ISNUMBER(T5),T5,IF(ISNUMBER(V5),V5,"")),IF(AND(ISNUMBER(F5),ISNUMBER(N5)),F5*N5,IF(AND(ISNUMBER(F5),ISNUMBER(O5)),F5*O5,IF(AND(ISNUMBER(F5),ISNUMBER(J5)),F5*J5,IF(ISNUMBER(V5),V5,""))))))</f>
        <v/>
      </c>
      <c r="X5" s="11">
        <f>IF(W5="","",IF(C5="B Foreign",IF(ISNUMBER(T5),"CIF/CIP total (as quoted)","Amount as printed"),IF(AND(ISNUMBER(F5),ISNUMBER(N5)),"Qty x unit price incl. taxes (quoted)",IF(AND(ISNUMBER(F5),ISNUMBER(O5)),"Qty x unit price incl. taxes (calculated)",IF(AND(ISNUMBER(F5),ISNUMBER(J5)),"Qty x unit price (tax basis not stated)","Amount as printed")))))</f>
        <v/>
      </c>
      <c r="Y5" s="11">
        <f>IF(AA5="Total",IF(ISNUMBER(V5),IF(ABS(V5-SUMIFS($W$5:$W$2000,$A$5:$A$2000,A5,$C$5:$C$2000,C5,$AA$5:$AA$2000,"Item"))&gt;0.01*ABS(V5)+0.5,"CHECK: printed total differs from sum of lines","OK"),""),IF(AA5&lt;&gt;"Item","",IF(AND(ISNUMBER(N5),ISNUMBER(O5),ABS(N(N5)-N(O5))&gt;0.01*ABS(N(O5))),"CHECK: incl. price differs from excl. price + taxes",IF(OR(AND(J5&lt;&gt;"",NOT(ISNUMBER(J5))),AND(N5&lt;&gt;"",NOT(ISNUMBER(N5))),AND(P5&lt;&gt;"",NOT(ISNUMBER(P5))),AND(T5&lt;&gt;"",NOT(ISNUMBER(T5)))),"CHECK: price is not a number (e.g. Included / FOC)",IF(AND(OR(ISNUMBER(J5),ISNUMBER(N5),ISNUMBER(P5),ISNUMBER(T5)),NOT(ISNUMBER(F5))),"CHECK: quantity missing",IF(AND(ISNUMBER(P5),ISNUMBER(Q5),ISNUMBER(F5),ABS(N(Q5)-N(F5)*N(P5))&gt;0.01*ABS(N(Q5))+0.5),"CHECK: FOB total differs from qty x FOB unit",IF(AND(ISNUMBER(T5),ISNUMBER(Q5),ABS(N(T5)-N(Q5)-N(R5)-N(S5))&gt;0.01*ABS(N(T5))+0.5),"CHECK: CIF differs from FOB + insurance + freight",IF(AND(LEFT(X5,3)="Qty",ISNUMBER(V5),ABS(N(V5)-N(W5))&gt;0.01*ABS(N(V5))+0.5),"CHECK: amount differs from qty x unit price",IF(ISNUMBER(W5),"OK","")))))))))</f>
        <v/>
      </c>
      <c r="Z5" s="6" t="n"/>
      <c r="AA5" s="12" t="inlineStr">
        <is>
          <t>Item</t>
        </is>
      </c>
      <c r="AB5" s="12" t="n">
        <v>1</v>
      </c>
      <c r="AC5" s="6" t="inlineStr">
        <is>
          <t>Word</t>
        </is>
      </c>
    </row>
    <row r="6">
      <c r="A6" s="6" t="inlineStr">
        <is>
          <t>price_filled.docx</t>
        </is>
      </c>
      <c r="B6" s="11">
        <f>IFERROR(INDEX(Summary!$B$5:$B$500,MATCH(A6,Summary!$A$5:$A$500,0)),A6)</f>
        <v/>
      </c>
      <c r="C6" s="12" t="inlineStr">
        <is>
          <t>A Local</t>
        </is>
      </c>
      <c r="D6" s="12" t="inlineStr">
        <is>
          <t>2</t>
        </is>
      </c>
      <c r="E6" s="6" t="inlineStr">
        <is>
          <t>Battery bank 12V 100Ah (set of 32 batteries)</t>
        </is>
      </c>
      <c r="F6" s="13" t="n">
        <v>2</v>
      </c>
      <c r="G6" s="6" t="n"/>
      <c r="H6" s="6" t="n"/>
      <c r="I6" s="12" t="inlineStr">
        <is>
          <t>LKR</t>
        </is>
      </c>
      <c r="J6" s="14" t="n">
        <v>850000</v>
      </c>
      <c r="K6" s="13" t="n">
        <v>18</v>
      </c>
      <c r="L6" s="13" t="n">
        <v>2</v>
      </c>
      <c r="M6" s="6" t="inlineStr">
        <is>
          <t>NIL</t>
        </is>
      </c>
      <c r="N6" s="14" t="n">
        <v>1022988</v>
      </c>
      <c r="O6" s="15">
        <f>IF(AND(ISNUMBER(J6),OR(ISNUMBER(K6),ISNUMBER(L6),ISNUMBER(M6))),IF(Summary!$B$3="Sum of rates",J6*(1+(N(K6)+N(L6)+N(M6))/100),J6*(1+N(L6)/100)*(1+N(K6)/100)*(1+N(M6)/100)),"")</f>
        <v/>
      </c>
      <c r="P6" s="16" t="n"/>
      <c r="Q6" s="16" t="n"/>
      <c r="R6" s="16" t="n"/>
      <c r="S6" s="16" t="n"/>
      <c r="T6" s="16" t="n"/>
      <c r="U6" s="16" t="n"/>
      <c r="V6" s="16" t="n"/>
      <c r="W6" s="9">
        <f>IF(AA6&lt;&gt;"Item","",IF(C6="B Foreign",IF(ISNUMBER(T6),T6,IF(ISNUMBER(V6),V6,"")),IF(AND(ISNUMBER(F6),ISNUMBER(N6)),F6*N6,IF(AND(ISNUMBER(F6),ISNUMBER(O6)),F6*O6,IF(AND(ISNUMBER(F6),ISNUMBER(J6)),F6*J6,IF(ISNUMBER(V6),V6,""))))))</f>
        <v/>
      </c>
      <c r="X6" s="11">
        <f>IF(W6="","",IF(C6="B Foreign",IF(ISNUMBER(T6),"CIF/CIP total (as quoted)","Amount as printed"),IF(AND(ISNUMBER(F6),ISNUMBER(N6)),"Qty x unit price incl. taxes (quoted)",IF(AND(ISNUMBER(F6),ISNUMBER(O6)),"Qty x unit price incl. taxes (calculated)",IF(AND(ISNUMBER(F6),ISNUMBER(J6)),"Qty x unit price (tax basis not stated)","Amount as printed")))))</f>
        <v/>
      </c>
      <c r="Y6" s="11">
        <f>IF(AA6="Total",IF(ISNUMBER(V6),IF(ABS(V6-SUMIFS($W$5:$W$2000,$A$5:$A$2000,A6,$C$5:$C$2000,C6,$AA$5:$AA$2000,"Item"))&gt;0.01*ABS(V6)+0.5,"CHECK: printed total differs from sum of lines","OK"),""),IF(AA6&lt;&gt;"Item","",IF(AND(ISNUMBER(N6),ISNUMBER(O6),ABS(N(N6)-N(O6))&gt;0.01*ABS(N(O6))),"CHECK: incl. price differs from excl. price + taxes",IF(OR(AND(J6&lt;&gt;"",NOT(ISNUMBER(J6))),AND(N6&lt;&gt;"",NOT(ISNUMBER(N6))),AND(P6&lt;&gt;"",NOT(ISNUMBER(P6))),AND(T6&lt;&gt;"",NOT(ISNUMBER(T6)))),"CHECK: price is not a number (e.g. Included / FOC)",IF(AND(OR(ISNUMBER(J6),ISNUMBER(N6),ISNUMBER(P6),ISNUMBER(T6)),NOT(ISNUMBER(F6))),"CHECK: quantity missing",IF(AND(ISNUMBER(P6),ISNUMBER(Q6),ISNUMBER(F6),ABS(N(Q6)-N(F6)*N(P6))&gt;0.01*ABS(N(Q6))+0.5),"CHECK: FOB total differs from qty x FOB unit",IF(AND(ISNUMBER(T6),ISNUMBER(Q6),ABS(N(T6)-N(Q6)-N(R6)-N(S6))&gt;0.01*ABS(N(T6))+0.5),"CHECK: CIF differs from FOB + insurance + freight",IF(AND(LEFT(X6,3)="Qty",ISNUMBER(V6),ABS(N(V6)-N(W6))&gt;0.01*ABS(N(V6))+0.5),"CHECK: amount differs from qty x unit price",IF(ISNUMBER(W6),"OK","")))))))))</f>
        <v/>
      </c>
      <c r="Z6" s="6" t="n"/>
      <c r="AA6" s="12" t="inlineStr">
        <is>
          <t>Item</t>
        </is>
      </c>
      <c r="AB6" s="12" t="n">
        <v>1</v>
      </c>
      <c r="AC6" s="6" t="inlineStr">
        <is>
          <t>Word</t>
        </is>
      </c>
    </row>
    <row r="7">
      <c r="A7" s="6" t="inlineStr">
        <is>
          <t>price_filled.docx</t>
        </is>
      </c>
      <c r="B7" s="11">
        <f>IFERROR(INDEX(Summary!$B$5:$B$500,MATCH(A7,Summary!$A$5:$A$500,0)),A7)</f>
        <v/>
      </c>
      <c r="C7" s="12" t="inlineStr">
        <is>
          <t>A Local</t>
        </is>
      </c>
      <c r="D7" s="12" t="inlineStr">
        <is>
          <t>3</t>
        </is>
      </c>
      <c r="E7" s="6" t="inlineStr">
        <is>
          <t>Installation and commissioning</t>
        </is>
      </c>
      <c r="F7" s="13" t="n">
        <v>1</v>
      </c>
      <c r="G7" s="6" t="n"/>
      <c r="H7" s="6" t="n"/>
      <c r="I7" s="12" t="inlineStr">
        <is>
          <t>LKR</t>
        </is>
      </c>
      <c r="J7" s="16" t="inlineStr">
        <is>
          <t>Included</t>
        </is>
      </c>
      <c r="K7" s="6" t="n"/>
      <c r="L7" s="6" t="n"/>
      <c r="M7" s="6" t="n"/>
      <c r="N7" s="16" t="inlineStr">
        <is>
          <t>Included</t>
        </is>
      </c>
      <c r="O7" s="15">
        <f>IF(AND(ISNUMBER(J7),OR(ISNUMBER(K7),ISNUMBER(L7),ISNUMBER(M7))),IF(Summary!$B$3="Sum of rates",J7*(1+(N(K7)+N(L7)+N(M7))/100),J7*(1+N(L7)/100)*(1+N(K7)/100)*(1+N(M7)/100)),"")</f>
        <v/>
      </c>
      <c r="P7" s="16" t="n"/>
      <c r="Q7" s="16" t="n"/>
      <c r="R7" s="16" t="n"/>
      <c r="S7" s="16" t="n"/>
      <c r="T7" s="16" t="n"/>
      <c r="U7" s="16" t="n"/>
      <c r="V7" s="16" t="n"/>
      <c r="W7" s="9">
        <f>IF(AA7&lt;&gt;"Item","",IF(C7="B Foreign",IF(ISNUMBER(T7),T7,IF(ISNUMBER(V7),V7,"")),IF(AND(ISNUMBER(F7),ISNUMBER(N7)),F7*N7,IF(AND(ISNUMBER(F7),ISNUMBER(O7)),F7*O7,IF(AND(ISNUMBER(F7),ISNUMBER(J7)),F7*J7,IF(ISNUMBER(V7),V7,""))))))</f>
        <v/>
      </c>
      <c r="X7" s="11">
        <f>IF(W7="","",IF(C7="B Foreign",IF(ISNUMBER(T7),"CIF/CIP total (as quoted)","Amount as printed"),IF(AND(ISNUMBER(F7),ISNUMBER(N7)),"Qty x unit price incl. taxes (quoted)",IF(AND(ISNUMBER(F7),ISNUMBER(O7)),"Qty x unit price incl. taxes (calculated)",IF(AND(ISNUMBER(F7),ISNUMBER(J7)),"Qty x unit price (tax basis not stated)","Amount as printed")))))</f>
        <v/>
      </c>
      <c r="Y7" s="11">
        <f>IF(AA7="Total",IF(ISNUMBER(V7),IF(ABS(V7-SUMIFS($W$5:$W$2000,$A$5:$A$2000,A7,$C$5:$C$2000,C7,$AA$5:$AA$2000,"Item"))&gt;0.01*ABS(V7)+0.5,"CHECK: printed total differs from sum of lines","OK"),""),IF(AA7&lt;&gt;"Item","",IF(AND(ISNUMBER(N7),ISNUMBER(O7),ABS(N(N7)-N(O7))&gt;0.01*ABS(N(O7))),"CHECK: incl. price differs from excl. price + taxes",IF(OR(AND(J7&lt;&gt;"",NOT(ISNUMBER(J7))),AND(N7&lt;&gt;"",NOT(ISNUMBER(N7))),AND(P7&lt;&gt;"",NOT(ISNUMBER(P7))),AND(T7&lt;&gt;"",NOT(ISNUMBER(T7)))),"CHECK: price is not a number (e.g. Included / FOC)",IF(AND(OR(ISNUMBER(J7),ISNUMBER(N7),ISNUMBER(P7),ISNUMBER(T7)),NOT(ISNUMBER(F7))),"CHECK: quantity missing",IF(AND(ISNUMBER(P7),ISNUMBER(Q7),ISNUMBER(F7),ABS(N(Q7)-N(F7)*N(P7))&gt;0.01*ABS(N(Q7))+0.5),"CHECK: FOB total differs from qty x FOB unit",IF(AND(ISNUMBER(T7),ISNUMBER(Q7),ABS(N(T7)-N(Q7)-N(R7)-N(S7))&gt;0.01*ABS(N(T7))+0.5),"CHECK: CIF differs from FOB + insurance + freight",IF(AND(LEFT(X7,3)="Qty",ISNUMBER(V7),ABS(N(V7)-N(W7))&gt;0.01*ABS(N(V7))+0.5),"CHECK: amount differs from qty x unit price",IF(ISNUMBER(W7),"OK","")))))))))</f>
        <v/>
      </c>
      <c r="Z7" s="6" t="n"/>
      <c r="AA7" s="12" t="inlineStr">
        <is>
          <t>Item</t>
        </is>
      </c>
      <c r="AB7" s="12" t="n">
        <v>1</v>
      </c>
      <c r="AC7" s="6" t="inlineStr">
        <is>
          <t>Word</t>
        </is>
      </c>
    </row>
    <row r="8">
      <c r="A8" s="6" t="inlineStr">
        <is>
          <t>price_filled.docx</t>
        </is>
      </c>
      <c r="B8" s="11">
        <f>IFERROR(INDEX(Summary!$B$5:$B$500,MATCH(A8,Summary!$A$5:$A$500,0)),A8)</f>
        <v/>
      </c>
      <c r="C8" s="12" t="inlineStr">
        <is>
          <t>A Local</t>
        </is>
      </c>
      <c r="D8" s="12" t="inlineStr">
        <is>
          <t>4</t>
        </is>
      </c>
      <c r="E8" s="6" t="inlineStr">
        <is>
          <t>Training - 2 sessions</t>
        </is>
      </c>
      <c r="F8" s="13" t="n">
        <v>2</v>
      </c>
      <c r="G8" s="6" t="inlineStr">
        <is>
          <t>sessions</t>
        </is>
      </c>
      <c r="H8" s="6" t="n"/>
      <c r="I8" s="12" t="inlineStr">
        <is>
          <t>LKR</t>
        </is>
      </c>
      <c r="J8" s="14" t="n">
        <v>75000</v>
      </c>
      <c r="K8" s="13" t="n">
        <v>18</v>
      </c>
      <c r="L8" s="13" t="n">
        <v>2</v>
      </c>
      <c r="M8" s="6" t="n"/>
      <c r="N8" s="14" t="n">
        <v>90270</v>
      </c>
      <c r="O8" s="15">
        <f>IF(AND(ISNUMBER(J8),OR(ISNUMBER(K8),ISNUMBER(L8),ISNUMBER(M8))),IF(Summary!$B$3="Sum of rates",J8*(1+(N(K8)+N(L8)+N(M8))/100),J8*(1+N(L8)/100)*(1+N(K8)/100)*(1+N(M8)/100)),"")</f>
        <v/>
      </c>
      <c r="P8" s="16" t="n"/>
      <c r="Q8" s="16" t="n"/>
      <c r="R8" s="16" t="n"/>
      <c r="S8" s="16" t="n"/>
      <c r="T8" s="16" t="n"/>
      <c r="U8" s="16" t="n"/>
      <c r="V8" s="16" t="n"/>
      <c r="W8" s="9">
        <f>IF(AA8&lt;&gt;"Item","",IF(C8="B Foreign",IF(ISNUMBER(T8),T8,IF(ISNUMBER(V8),V8,"")),IF(AND(ISNUMBER(F8),ISNUMBER(N8)),F8*N8,IF(AND(ISNUMBER(F8),ISNUMBER(O8)),F8*O8,IF(AND(ISNUMBER(F8),ISNUMBER(J8)),F8*J8,IF(ISNUMBER(V8),V8,""))))))</f>
        <v/>
      </c>
      <c r="X8" s="11">
        <f>IF(W8="","",IF(C8="B Foreign",IF(ISNUMBER(T8),"CIF/CIP total (as quoted)","Amount as printed"),IF(AND(ISNUMBER(F8),ISNUMBER(N8)),"Qty x unit price incl. taxes (quoted)",IF(AND(ISNUMBER(F8),ISNUMBER(O8)),"Qty x unit price incl. taxes (calculated)",IF(AND(ISNUMBER(F8),ISNUMBER(J8)),"Qty x unit price (tax basis not stated)","Amount as printed")))))</f>
        <v/>
      </c>
      <c r="Y8" s="11">
        <f>IF(AA8="Total",IF(ISNUMBER(V8),IF(ABS(V8-SUMIFS($W$5:$W$2000,$A$5:$A$2000,A8,$C$5:$C$2000,C8,$AA$5:$AA$2000,"Item"))&gt;0.01*ABS(V8)+0.5,"CHECK: printed total differs from sum of lines","OK"),""),IF(AA8&lt;&gt;"Item","",IF(AND(ISNUMBER(N8),ISNUMBER(O8),ABS(N(N8)-N(O8))&gt;0.01*ABS(N(O8))),"CHECK: incl. price differs from excl. price + taxes",IF(OR(AND(J8&lt;&gt;"",NOT(ISNUMBER(J8))),AND(N8&lt;&gt;"",NOT(ISNUMBER(N8))),AND(P8&lt;&gt;"",NOT(ISNUMBER(P8))),AND(T8&lt;&gt;"",NOT(ISNUMBER(T8)))),"CHECK: price is not a number (e.g. Included / FOC)",IF(AND(OR(ISNUMBER(J8),ISNUMBER(N8),ISNUMBER(P8),ISNUMBER(T8)),NOT(ISNUMBER(F8))),"CHECK: quantity missing",IF(AND(ISNUMBER(P8),ISNUMBER(Q8),ISNUMBER(F8),ABS(N(Q8)-N(F8)*N(P8))&gt;0.01*ABS(N(Q8))+0.5),"CHECK: FOB total differs from qty x FOB unit",IF(AND(ISNUMBER(T8),ISNUMBER(Q8),ABS(N(T8)-N(Q8)-N(R8)-N(S8))&gt;0.01*ABS(N(T8))+0.5),"CHECK: CIF differs from FOB + insurance + freight",IF(AND(LEFT(X8,3)="Qty",ISNUMBER(V8),ABS(N(V8)-N(W8))&gt;0.01*ABS(N(V8))+0.5),"CHECK: amount differs from qty x unit price",IF(ISNUMBER(W8),"OK","")))))))))</f>
        <v/>
      </c>
      <c r="Z8" s="6" t="n"/>
      <c r="AA8" s="12" t="inlineStr">
        <is>
          <t>Item</t>
        </is>
      </c>
      <c r="AB8" s="12" t="n">
        <v>1</v>
      </c>
      <c r="AC8" s="6" t="inlineStr">
        <is>
          <t>Word</t>
        </is>
      </c>
    </row>
    <row r="9">
      <c r="A9" s="6" t="inlineStr">
        <is>
          <t>price_filled.docx</t>
        </is>
      </c>
      <c r="B9" s="11">
        <f>IFERROR(INDEX(Summary!$B$5:$B$500,MATCH(A9,Summary!$A$5:$A$500,0)),A9)</f>
        <v/>
      </c>
      <c r="C9" s="12" t="inlineStr">
        <is>
          <t>A Local</t>
        </is>
      </c>
      <c r="D9" s="12" t="n"/>
      <c r="E9" s="6" t="inlineStr">
        <is>
          <t>Total</t>
        </is>
      </c>
      <c r="F9" s="6" t="n"/>
      <c r="G9" s="6" t="n"/>
      <c r="H9" s="6" t="n"/>
      <c r="I9" s="12" t="inlineStr">
        <is>
          <t>LKR</t>
        </is>
      </c>
      <c r="J9" s="16" t="n"/>
      <c r="K9" s="6" t="n"/>
      <c r="L9" s="6" t="n"/>
      <c r="M9" s="6" t="n"/>
      <c r="N9" s="16" t="n"/>
      <c r="O9" s="15">
        <f>IF(AND(ISNUMBER(J9),OR(ISNUMBER(K9),ISNUMBER(L9),ISNUMBER(M9))),IF(Summary!$B$3="Sum of rates",J9*(1+(N(K9)+N(L9)+N(M9))/100),J9*(1+N(L9)/100)*(1+N(K9)/100)*(1+N(M9)/100)),"")</f>
        <v/>
      </c>
      <c r="P9" s="16" t="n"/>
      <c r="Q9" s="16" t="n"/>
      <c r="R9" s="16" t="n"/>
      <c r="S9" s="16" t="n"/>
      <c r="T9" s="16" t="n"/>
      <c r="U9" s="16" t="n"/>
      <c r="V9" s="14" t="n">
        <v>14021796</v>
      </c>
      <c r="W9" s="9">
        <f>IF(AA9&lt;&gt;"Item","",IF(C9="B Foreign",IF(ISNUMBER(T9),T9,IF(ISNUMBER(V9),V9,"")),IF(AND(ISNUMBER(F9),ISNUMBER(N9)),F9*N9,IF(AND(ISNUMBER(F9),ISNUMBER(O9)),F9*O9,IF(AND(ISNUMBER(F9),ISNUMBER(J9)),F9*J9,IF(ISNUMBER(V9),V9,""))))))</f>
        <v/>
      </c>
      <c r="X9" s="11">
        <f>IF(W9="","",IF(C9="B Foreign",IF(ISNUMBER(T9),"CIF/CIP total (as quoted)","Amount as printed"),IF(AND(ISNUMBER(F9),ISNUMBER(N9)),"Qty x unit price incl. taxes (quoted)",IF(AND(ISNUMBER(F9),ISNUMBER(O9)),"Qty x unit price incl. taxes (calculated)",IF(AND(ISNUMBER(F9),ISNUMBER(J9)),"Qty x unit price (tax basis not stated)","Amount as printed")))))</f>
        <v/>
      </c>
      <c r="Y9" s="11">
        <f>IF(AA9="Total",IF(ISNUMBER(V9),IF(ABS(V9-SUMIFS($W$5:$W$2000,$A$5:$A$2000,A9,$C$5:$C$2000,C9,$AA$5:$AA$2000,"Item"))&gt;0.01*ABS(V9)+0.5,"CHECK: printed total differs from sum of lines","OK"),""),IF(AA9&lt;&gt;"Item","",IF(AND(ISNUMBER(N9),ISNUMBER(O9),ABS(N(N9)-N(O9))&gt;0.01*ABS(N(O9))),"CHECK: incl. price differs from excl. price + taxes",IF(OR(AND(J9&lt;&gt;"",NOT(ISNUMBER(J9))),AND(N9&lt;&gt;"",NOT(ISNUMBER(N9))),AND(P9&lt;&gt;"",NOT(ISNUMBER(P9))),AND(T9&lt;&gt;"",NOT(ISNUMBER(T9)))),"CHECK: price is not a number (e.g. Included / FOC)",IF(AND(OR(ISNUMBER(J9),ISNUMBER(N9),ISNUMBER(P9),ISNUMBER(T9)),NOT(ISNUMBER(F9))),"CHECK: quantity missing",IF(AND(ISNUMBER(P9),ISNUMBER(Q9),ISNUMBER(F9),ABS(N(Q9)-N(F9)*N(P9))&gt;0.01*ABS(N(Q9))+0.5),"CHECK: FOB total differs from qty x FOB unit",IF(AND(ISNUMBER(T9),ISNUMBER(Q9),ABS(N(T9)-N(Q9)-N(R9)-N(S9))&gt;0.01*ABS(N(T9))+0.5),"CHECK: CIF differs from FOB + insurance + freight",IF(AND(LEFT(X9,3)="Qty",ISNUMBER(V9),ABS(N(V9)-N(W9))&gt;0.01*ABS(N(V9))+0.5),"CHECK: amount differs from qty x unit price",IF(ISNUMBER(W9),"OK","")))))))))</f>
        <v/>
      </c>
      <c r="Z9" s="6" t="n"/>
      <c r="AA9" s="12" t="inlineStr">
        <is>
          <t>Total</t>
        </is>
      </c>
      <c r="AB9" s="12" t="n">
        <v>1</v>
      </c>
      <c r="AC9" s="6" t="inlineStr">
        <is>
          <t>Word</t>
        </is>
      </c>
    </row>
    <row r="10">
      <c r="A10" s="6" t="inlineStr">
        <is>
          <t>price_filled.docx</t>
        </is>
      </c>
      <c r="B10" s="11">
        <f>IFERROR(INDEX(Summary!$B$5:$B$500,MATCH(A10,Summary!$A$5:$A$500,0)),A10)</f>
        <v/>
      </c>
      <c r="C10" s="12" t="inlineStr">
        <is>
          <t>B Foreign</t>
        </is>
      </c>
      <c r="D10" s="12" t="inlineStr">
        <is>
          <t>1</t>
        </is>
      </c>
      <c r="E10" s="6" t="inlineStr">
        <is>
          <t>Static transfer switch 100A
Model STS-100 (Vertiv)</t>
        </is>
      </c>
      <c r="F10" s="13" t="n">
        <v>2</v>
      </c>
      <c r="G10" s="6" t="n"/>
      <c r="H10" s="6" t="inlineStr">
        <is>
          <t>Germany</t>
        </is>
      </c>
      <c r="I10" s="12" t="inlineStr">
        <is>
          <t>USD</t>
        </is>
      </c>
      <c r="J10" s="16" t="n"/>
      <c r="K10" s="6" t="n"/>
      <c r="L10" s="6" t="n"/>
      <c r="M10" s="6" t="n"/>
      <c r="N10" s="16" t="n"/>
      <c r="O10" s="15">
        <f>IF(AND(ISNUMBER(J10),OR(ISNUMBER(K10),ISNUMBER(L10),ISNUMBER(M10))),IF(Summary!$B$3="Sum of rates",J10*(1+(N(K10)+N(L10)+N(M10))/100),J10*(1+N(L10)/100)*(1+N(K10)/100)*(1+N(M10)/100)),"")</f>
        <v/>
      </c>
      <c r="P10" s="14" t="n">
        <v>12500</v>
      </c>
      <c r="Q10" s="14" t="n">
        <v>25000</v>
      </c>
      <c r="R10" s="14" t="n">
        <v>450</v>
      </c>
      <c r="S10" s="14" t="n">
        <v>1100</v>
      </c>
      <c r="T10" s="14" t="n">
        <v>26550</v>
      </c>
      <c r="U10" s="14" t="n">
        <v>1300</v>
      </c>
      <c r="V10" s="16" t="n"/>
      <c r="W10" s="9">
        <f>IF(AA10&lt;&gt;"Item","",IF(C10="B Foreign",IF(ISNUMBER(T10),T10,IF(ISNUMBER(V10),V10,"")),IF(AND(ISNUMBER(F10),ISNUMBER(N10)),F10*N10,IF(AND(ISNUMBER(F10),ISNUMBER(O10)),F10*O10,IF(AND(ISNUMBER(F10),ISNUMBER(J10)),F10*J10,IF(ISNUMBER(V10),V10,""))))))</f>
        <v/>
      </c>
      <c r="X10" s="11">
        <f>IF(W10="","",IF(C10="B Foreign",IF(ISNUMBER(T10),"CIF/CIP total (as quoted)","Amount as printed"),IF(AND(ISNUMBER(F10),ISNUMBER(N10)),"Qty x unit price incl. taxes (quoted)",IF(AND(ISNUMBER(F10),ISNUMBER(O10)),"Qty x unit price incl. taxes (calculated)",IF(AND(ISNUMBER(F10),ISNUMBER(J10)),"Qty x unit price (tax basis not stated)","Amount as printed")))))</f>
        <v/>
      </c>
      <c r="Y10" s="11">
        <f>IF(AA10="Total",IF(ISNUMBER(V10),IF(ABS(V10-SUMIFS($W$5:$W$2000,$A$5:$A$2000,A10,$C$5:$C$2000,C10,$AA$5:$AA$2000,"Item"))&gt;0.01*ABS(V10)+0.5,"CHECK: printed total differs from sum of lines","OK"),""),IF(AA10&lt;&gt;"Item","",IF(AND(ISNUMBER(N10),ISNUMBER(O10),ABS(N(N10)-N(O10))&gt;0.01*ABS(N(O10))),"CHECK: incl. price differs from excl. price + taxes",IF(OR(AND(J10&lt;&gt;"",NOT(ISNUMBER(J10))),AND(N10&lt;&gt;"",NOT(ISNUMBER(N10))),AND(P10&lt;&gt;"",NOT(ISNUMBER(P10))),AND(T10&lt;&gt;"",NOT(ISNUMBER(T10)))),"CHECK: price is not a number (e.g. Included / FOC)",IF(AND(OR(ISNUMBER(J10),ISNUMBER(N10),ISNUMBER(P10),ISNUMBER(T10)),NOT(ISNUMBER(F10))),"CHECK: quantity missing",IF(AND(ISNUMBER(P10),ISNUMBER(Q10),ISNUMBER(F10),ABS(N(Q10)-N(F10)*N(P10))&gt;0.01*ABS(N(Q10))+0.5),"CHECK: FOB total differs from qty x FOB unit",IF(AND(ISNUMBER(T10),ISNUMBER(Q10),ABS(N(T10)-N(Q10)-N(R10)-N(S10))&gt;0.01*ABS(N(T10))+0.5),"CHECK: CIF differs from FOB + insurance + freight",IF(AND(LEFT(X10,3)="Qty",ISNUMBER(V10),ABS(N(V10)-N(W10))&gt;0.01*ABS(N(V10))+0.5),"CHECK: amount differs from qty x unit price",IF(ISNUMBER(W10),"OK","")))))))))</f>
        <v/>
      </c>
      <c r="Z10" s="6" t="n"/>
      <c r="AA10" s="12" t="inlineStr">
        <is>
          <t>Item</t>
        </is>
      </c>
      <c r="AB10" s="12" t="n">
        <v>1</v>
      </c>
      <c r="AC10" s="6" t="inlineStr">
        <is>
          <t>Word</t>
        </is>
      </c>
    </row>
    <row r="11">
      <c r="A11" s="6" t="inlineStr">
        <is>
          <t>price_filled.docx</t>
        </is>
      </c>
      <c r="B11" s="11">
        <f>IFERROR(INDEX(Summary!$B$5:$B$500,MATCH(A11,Summary!$A$5:$A$500,0)),A11)</f>
        <v/>
      </c>
      <c r="C11" s="12" t="inlineStr">
        <is>
          <t>B Foreign</t>
        </is>
      </c>
      <c r="D11" s="12" t="inlineStr">
        <is>
          <t>2</t>
        </is>
      </c>
      <c r="E11" s="6" t="inlineStr">
        <is>
          <t>Spare parts kit - fans &amp; capacitors</t>
        </is>
      </c>
      <c r="F11" s="13" t="n">
        <v>1</v>
      </c>
      <c r="G11" s="6" t="n"/>
      <c r="H11" s="6" t="inlineStr">
        <is>
          <t>India</t>
        </is>
      </c>
      <c r="I11" s="12" t="inlineStr">
        <is>
          <t>USD</t>
        </is>
      </c>
      <c r="J11" s="16" t="n"/>
      <c r="K11" s="6" t="n"/>
      <c r="L11" s="6" t="n"/>
      <c r="M11" s="6" t="n"/>
      <c r="N11" s="16" t="n"/>
      <c r="O11" s="15">
        <f>IF(AND(ISNUMBER(J11),OR(ISNUMBER(K11),ISNUMBER(L11),ISNUMBER(M11))),IF(Summary!$B$3="Sum of rates",J11*(1+(N(K11)+N(L11)+N(M11))/100),J11*(1+N(L11)/100)*(1+N(K11)/100)*(1+N(M11)/100)),"")</f>
        <v/>
      </c>
      <c r="P11" s="14" t="n">
        <v>3200</v>
      </c>
      <c r="Q11" s="14" t="n">
        <v>3200</v>
      </c>
      <c r="R11" s="14" t="n">
        <v>60</v>
      </c>
      <c r="S11" s="14" t="n">
        <v>240</v>
      </c>
      <c r="T11" s="14" t="n">
        <v>3500</v>
      </c>
      <c r="U11" s="14" t="n">
        <v>150</v>
      </c>
      <c r="V11" s="16" t="n"/>
      <c r="W11" s="9">
        <f>IF(AA11&lt;&gt;"Item","",IF(C11="B Foreign",IF(ISNUMBER(T11),T11,IF(ISNUMBER(V11),V11,"")),IF(AND(ISNUMBER(F11),ISNUMBER(N11)),F11*N11,IF(AND(ISNUMBER(F11),ISNUMBER(O11)),F11*O11,IF(AND(ISNUMBER(F11),ISNUMBER(J11)),F11*J11,IF(ISNUMBER(V11),V11,""))))))</f>
        <v/>
      </c>
      <c r="X11" s="11">
        <f>IF(W11="","",IF(C11="B Foreign",IF(ISNUMBER(T11),"CIF/CIP total (as quoted)","Amount as printed"),IF(AND(ISNUMBER(F11),ISNUMBER(N11)),"Qty x unit price incl. taxes (quoted)",IF(AND(ISNUMBER(F11),ISNUMBER(O11)),"Qty x unit price incl. taxes (calculated)",IF(AND(ISNUMBER(F11),ISNUMBER(J11)),"Qty x unit price (tax basis not stated)","Amount as printed")))))</f>
        <v/>
      </c>
      <c r="Y11" s="11">
        <f>IF(AA11="Total",IF(ISNUMBER(V11),IF(ABS(V11-SUMIFS($W$5:$W$2000,$A$5:$A$2000,A11,$C$5:$C$2000,C11,$AA$5:$AA$2000,"Item"))&gt;0.01*ABS(V11)+0.5,"CHECK: printed total differs from sum of lines","OK"),""),IF(AA11&lt;&gt;"Item","",IF(AND(ISNUMBER(N11),ISNUMBER(O11),ABS(N(N11)-N(O11))&gt;0.01*ABS(N(O11))),"CHECK: incl. price differs from excl. price + taxes",IF(OR(AND(J11&lt;&gt;"",NOT(ISNUMBER(J11))),AND(N11&lt;&gt;"",NOT(ISNUMBER(N11))),AND(P11&lt;&gt;"",NOT(ISNUMBER(P11))),AND(T11&lt;&gt;"",NOT(ISNUMBER(T11)))),"CHECK: price is not a number (e.g. Included / FOC)",IF(AND(OR(ISNUMBER(J11),ISNUMBER(N11),ISNUMBER(P11),ISNUMBER(T11)),NOT(ISNUMBER(F11))),"CHECK: quantity missing",IF(AND(ISNUMBER(P11),ISNUMBER(Q11),ISNUMBER(F11),ABS(N(Q11)-N(F11)*N(P11))&gt;0.01*ABS(N(Q11))+0.5),"CHECK: FOB total differs from qty x FOB unit",IF(AND(ISNUMBER(T11),ISNUMBER(Q11),ABS(N(T11)-N(Q11)-N(R11)-N(S11))&gt;0.01*ABS(N(T11))+0.5),"CHECK: CIF differs from FOB + insurance + freight",IF(AND(LEFT(X11,3)="Qty",ISNUMBER(V11),ABS(N(V11)-N(W11))&gt;0.01*ABS(N(V11))+0.5),"CHECK: amount differs from qty x unit price",IF(ISNUMBER(W11),"OK","")))))))))</f>
        <v/>
      </c>
      <c r="Z11" s="6" t="n"/>
      <c r="AA11" s="12" t="inlineStr">
        <is>
          <t>Item</t>
        </is>
      </c>
      <c r="AB11" s="12" t="n">
        <v>1</v>
      </c>
      <c r="AC11" s="6" t="inlineStr">
        <is>
          <t>Word</t>
        </is>
      </c>
    </row>
  </sheetData>
  <autoFilter ref="A4:AC11"/>
  <conditionalFormatting sqref="Y5:Y2000">
    <cfRule type="expression" priority="1" dxfId="0">
      <formula>LEFT(Y5,5)="CHECK"</formula>
    </cfRule>
    <cfRule type="expression" priority="2" dxfId="1">
      <formula>Y5="OK"</formula>
    </cfRule>
  </conditionalFormatting>
  <conditionalFormatting sqref="A5:AC2000">
    <cfRule type="expression" priority="3" dxfId="2">
      <formula>OR($AA5="Total",$AA5="Sub-total")</formula>
    </cfRule>
  </conditionalFormatting>
  <dataValidations count="2">
    <dataValidation sqref="C5 C6 C7 C8 C9 C10 C11" showDropDown="0" showInputMessage="0" showErrorMessage="0" allowBlank="1" type="list">
      <formula1>"A Local,B Foreign,Other"</formula1>
    </dataValidation>
    <dataValidation sqref="AA5 AA6 AA7 AA8 AA9 AA10 AA11" showDropDown="0" showInputMessage="0" showErrorMessage="0" allowBlank="1" type="list">
      <formula1>"Item,Sub-total,Total,Note"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J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0" t="inlineStr">
        <is>
          <t>Raw Tables - every table exactly as read (verbatim). Orange = low-confidence OCR.</t>
        </is>
      </c>
    </row>
    <row r="3">
      <c r="A3" s="17" t="inlineStr">
        <is>
          <t>price_filled.docx  |  table 1  |  page 1  |  read by docx  |  recognised as: A Local  |  5 line(s)</t>
        </is>
      </c>
      <c r="B3" s="18" t="n"/>
      <c r="C3" s="18" t="n"/>
      <c r="D3" s="18" t="n"/>
      <c r="E3" s="18" t="n"/>
      <c r="F3" s="18" t="n"/>
      <c r="G3" s="18" t="n"/>
      <c r="H3" s="18" t="n"/>
    </row>
    <row r="4">
      <c r="A4" s="19" t="inlineStr">
        <is>
          <t>S/No</t>
        </is>
      </c>
      <c r="B4" s="19" t="inlineStr">
        <is>
          <t>Description</t>
        </is>
      </c>
      <c r="C4" s="19" t="inlineStr">
        <is>
          <t>Qty</t>
        </is>
      </c>
      <c r="D4" s="19" t="inlineStr">
        <is>
          <t>Unit Price  (Rs.) [Excluding Taxes]</t>
        </is>
      </c>
      <c r="E4" s="19" t="inlineStr">
        <is>
          <t>VAT 
(%)</t>
        </is>
      </c>
      <c r="F4" s="19" t="inlineStr">
        <is>
          <t>NBT
(%)</t>
        </is>
      </c>
      <c r="G4" s="19" t="inlineStr">
        <is>
          <t>Other Taxes (%)
[Pls. Specify]</t>
        </is>
      </c>
      <c r="H4" s="19" t="inlineStr">
        <is>
          <t xml:space="preserve">Unit Price (Rs.) [Including Taxes] </t>
        </is>
      </c>
    </row>
    <row r="5">
      <c r="A5" s="6" t="inlineStr">
        <is>
          <t>1</t>
        </is>
      </c>
      <c r="B5" s="6" t="inlineStr">
        <is>
          <t>Supply, installation &amp; commissioning of 60kVA online UPS
including 3 year warranty</t>
        </is>
      </c>
      <c r="C5" s="6" t="inlineStr">
        <is>
          <t>4</t>
        </is>
      </c>
      <c r="D5" s="6" t="inlineStr">
        <is>
          <t>2,450,000.00</t>
        </is>
      </c>
      <c r="E5" s="6" t="inlineStr">
        <is>
          <t>18</t>
        </is>
      </c>
      <c r="F5" s="6" t="inlineStr">
        <is>
          <t>2</t>
        </is>
      </c>
      <c r="G5" s="6" t="inlineStr">
        <is>
          <t>-</t>
        </is>
      </c>
      <c r="H5" s="6" t="inlineStr">
        <is>
          <t>2,948,820.00</t>
        </is>
      </c>
    </row>
    <row r="6">
      <c r="A6" s="6" t="inlineStr">
        <is>
          <t>2</t>
        </is>
      </c>
      <c r="B6" s="6" t="inlineStr">
        <is>
          <t>Battery bank 12V 100Ah (set of 32 batteries)</t>
        </is>
      </c>
      <c r="C6" s="6" t="inlineStr">
        <is>
          <t>2</t>
        </is>
      </c>
      <c r="D6" s="6" t="inlineStr">
        <is>
          <t>850,000.00</t>
        </is>
      </c>
      <c r="E6" s="6" t="inlineStr">
        <is>
          <t>18</t>
        </is>
      </c>
      <c r="F6" s="6" t="inlineStr">
        <is>
          <t>2</t>
        </is>
      </c>
      <c r="G6" s="6" t="inlineStr">
        <is>
          <t>NIL</t>
        </is>
      </c>
      <c r="H6" s="6" t="inlineStr">
        <is>
          <t>1,022,988.00</t>
        </is>
      </c>
    </row>
    <row r="7">
      <c r="A7" s="6" t="inlineStr">
        <is>
          <t>3</t>
        </is>
      </c>
      <c r="B7" s="6" t="inlineStr">
        <is>
          <t>Installation and commissioning</t>
        </is>
      </c>
      <c r="C7" s="6" t="inlineStr">
        <is>
          <t>1</t>
        </is>
      </c>
      <c r="D7" s="6" t="inlineStr">
        <is>
          <t>Included</t>
        </is>
      </c>
      <c r="E7" s="6" t="n"/>
      <c r="F7" s="6" t="n"/>
      <c r="G7" s="6" t="n"/>
      <c r="H7" s="6" t="inlineStr">
        <is>
          <t>Included</t>
        </is>
      </c>
    </row>
    <row r="8">
      <c r="A8" s="6" t="inlineStr">
        <is>
          <t>4</t>
        </is>
      </c>
      <c r="B8" s="6" t="inlineStr">
        <is>
          <t>Training - 2 sessions</t>
        </is>
      </c>
      <c r="C8" s="6" t="inlineStr">
        <is>
          <t>2 sessions</t>
        </is>
      </c>
      <c r="D8" s="6" t="inlineStr">
        <is>
          <t>75,000.00</t>
        </is>
      </c>
      <c r="E8" s="6" t="inlineStr">
        <is>
          <t>18</t>
        </is>
      </c>
      <c r="F8" s="6" t="inlineStr">
        <is>
          <t>2</t>
        </is>
      </c>
      <c r="G8" s="6" t="n"/>
      <c r="H8" s="6" t="inlineStr">
        <is>
          <t>90,270.00</t>
        </is>
      </c>
    </row>
    <row r="9">
      <c r="A9" s="6" t="n"/>
      <c r="B9" s="6" t="inlineStr">
        <is>
          <t>Total</t>
        </is>
      </c>
      <c r="C9" s="6" t="n"/>
      <c r="D9" s="6" t="n"/>
      <c r="E9" s="6" t="n"/>
      <c r="F9" s="6" t="n"/>
      <c r="G9" s="6" t="n"/>
      <c r="H9" s="6" t="inlineStr">
        <is>
          <t>14,021,796.00</t>
        </is>
      </c>
    </row>
    <row r="11">
      <c r="A11" s="17" t="inlineStr">
        <is>
          <t>price_filled.docx  |  table 2  |  page 1  |  read by docx  |  recognised as: B Foreign  |  2 line(s)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>
      <c r="A12" s="19" t="inlineStr">
        <is>
          <t>S/No</t>
        </is>
      </c>
      <c r="B12" s="19" t="inlineStr">
        <is>
          <t>Description</t>
        </is>
      </c>
      <c r="C12" s="19" t="inlineStr">
        <is>
          <t>Qty</t>
        </is>
      </c>
      <c r="D12" s="19" t="inlineStr">
        <is>
          <t>Country of Origin</t>
        </is>
      </c>
      <c r="E12" s="19" t="inlineStr">
        <is>
          <t>FOB / FCA Unit Price</t>
        </is>
      </c>
      <c r="F12" s="19" t="inlineStr">
        <is>
          <t>FOB / FCA Total Cost</t>
        </is>
      </c>
      <c r="G12" s="19" t="inlineStr">
        <is>
          <t>Total Insurance</t>
        </is>
      </c>
      <c r="H12" s="19" t="inlineStr">
        <is>
          <t>Total Freight</t>
        </is>
      </c>
      <c r="I12" s="19" t="inlineStr">
        <is>
          <t>Total CIF /CIP Cost</t>
        </is>
      </c>
      <c r="J12" s="19" t="inlineStr">
        <is>
          <t>Local Agent's Commission</t>
        </is>
      </c>
    </row>
    <row r="13">
      <c r="A13" s="6" t="inlineStr">
        <is>
          <t>1</t>
        </is>
      </c>
      <c r="B13" s="6" t="inlineStr">
        <is>
          <t>Static transfer switch 100A
Model STS-100 (Vertiv)</t>
        </is>
      </c>
      <c r="C13" s="6" t="inlineStr">
        <is>
          <t>2</t>
        </is>
      </c>
      <c r="D13" s="6" t="inlineStr">
        <is>
          <t>Germany</t>
        </is>
      </c>
      <c r="E13" s="6" t="inlineStr">
        <is>
          <t>USD 12,500.00</t>
        </is>
      </c>
      <c r="F13" s="6" t="inlineStr">
        <is>
          <t>USD 25,000.00</t>
        </is>
      </c>
      <c r="G13" s="6" t="inlineStr">
        <is>
          <t>USD 450.00</t>
        </is>
      </c>
      <c r="H13" s="6" t="inlineStr">
        <is>
          <t>USD 1,100.00</t>
        </is>
      </c>
      <c r="I13" s="6" t="inlineStr">
        <is>
          <t>USD 26,550.00</t>
        </is>
      </c>
      <c r="J13" s="6" t="inlineStr">
        <is>
          <t>USD 1,300.00</t>
        </is>
      </c>
    </row>
    <row r="14">
      <c r="A14" s="6" t="inlineStr">
        <is>
          <t>2</t>
        </is>
      </c>
      <c r="B14" s="6" t="inlineStr">
        <is>
          <t>Spare parts kit - fans &amp; capacitors</t>
        </is>
      </c>
      <c r="C14" s="6" t="inlineStr">
        <is>
          <t>1</t>
        </is>
      </c>
      <c r="D14" s="6" t="inlineStr">
        <is>
          <t>India</t>
        </is>
      </c>
      <c r="E14" s="6" t="inlineStr">
        <is>
          <t>3,200.00</t>
        </is>
      </c>
      <c r="F14" s="6" t="inlineStr">
        <is>
          <t>3,200.00</t>
        </is>
      </c>
      <c r="G14" s="6" t="inlineStr">
        <is>
          <t>60.00</t>
        </is>
      </c>
      <c r="H14" s="6" t="inlineStr">
        <is>
          <t>240.00</t>
        </is>
      </c>
      <c r="I14" s="6" t="inlineStr">
        <is>
          <t>3,500.00</t>
        </is>
      </c>
      <c r="J14" s="6" t="inlineStr">
        <is>
          <t>150.00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E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0" customWidth="1" min="4" max="4"/>
    <col width="110" customWidth="1" min="5" max="5"/>
  </cols>
  <sheetData>
    <row r="1">
      <c r="A1" s="10" t="inlineStr">
        <is>
          <t>Extraction Log</t>
        </is>
      </c>
    </row>
    <row r="3">
      <c r="A3" s="5" t="inlineStr">
        <is>
          <t>File</t>
        </is>
      </c>
      <c r="B3" s="5" t="inlineStr">
        <is>
          <t>Read by</t>
        </is>
      </c>
      <c r="C3" s="5" t="inlineStr">
        <is>
          <t>Tables</t>
        </is>
      </c>
      <c r="D3" s="5" t="inlineStr">
        <is>
          <t>Item lines</t>
        </is>
      </c>
      <c r="E3" s="5" t="inlineStr">
        <is>
          <t>Notes</t>
        </is>
      </c>
    </row>
    <row r="4">
      <c r="A4" s="6" t="inlineStr">
        <is>
          <t>price_filled.docx</t>
        </is>
      </c>
      <c r="B4" s="6" t="inlineStr">
        <is>
          <t>Word table</t>
        </is>
      </c>
      <c r="C4" s="6" t="n">
        <v>2</v>
      </c>
      <c r="D4" s="6" t="n">
        <v>6</v>
      </c>
      <c r="E4" s="6" t="inlineStr">
        <is>
          <t>Supplier name not found in the document - the file name is used; please correct it in the Summary sheet.
Document remarks found:
Note:
Please avoid unnecessary terms
All details shall be filled and submitted with the offer. Incomplete offers will be rejected.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2026-10-31T12:02:27Z</dcterms:created>
  <dcterms:modified xmlns:dcterms="http://purl.org/dc/terms/" xmlns:xsi="http://www.w3.org/2001/XMLSchema-instance" xsi:type="dcterms:W3CDTF">2026-10-31T12:02:27Z</dcterms:modified>
</cp:coreProperties>
</file>