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Tender &amp; Timeline" sheetId="1" state="visible" r:id="rId1"/>
    <sheet xmlns:r="http://schemas.openxmlformats.org/officeDocument/2006/relationships" name="02 Background Summary" sheetId="2" state="visible" r:id="rId2"/>
    <sheet xmlns:r="http://schemas.openxmlformats.org/officeDocument/2006/relationships" name="03 Bidder Details" sheetId="3" state="visible" r:id="rId3"/>
    <sheet xmlns:r="http://schemas.openxmlformats.org/officeDocument/2006/relationships" name="04 Compliance Evaluation" sheetId="4" state="visible" r:id="rId4"/>
    <sheet xmlns:r="http://schemas.openxmlformats.org/officeDocument/2006/relationships" name="05 Commercial Evaluation" sheetId="5" state="visible" r:id="rId5"/>
    <sheet xmlns:r="http://schemas.openxmlformats.org/officeDocument/2006/relationships" name="06 Scores &amp; Ranking" sheetId="6" state="visible" r:id="rId6"/>
    <sheet xmlns:r="http://schemas.openxmlformats.org/officeDocument/2006/relationships" name="Extraction Lo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sz val="13"/>
    </font>
    <font>
      <name val="Arial"/>
      <i val="1"/>
      <color rgb="007F6000"/>
      <sz val="9"/>
    </font>
    <font>
      <name val="Arial"/>
      <b val="1"/>
      <color rgb="00FFFFFF"/>
      <sz val="10"/>
    </font>
    <font>
      <name val="Arial"/>
      <b val="1"/>
      <sz val="10"/>
    </font>
    <font>
      <name val="Arial"/>
      <sz val="10"/>
    </font>
    <font>
      <name val="Arial"/>
      <b val="1"/>
      <color rgb="001F3864"/>
      <sz val="11"/>
    </font>
    <font>
      <name val="Arial"/>
      <b val="1"/>
      <color rgb="001F3864"/>
      <sz val="10"/>
    </font>
    <font>
      <name val="Arial"/>
      <color rgb="000000FF"/>
      <sz val="10"/>
    </font>
    <font>
      <name val="Arial"/>
      <b val="1"/>
      <color rgb="00595959"/>
      <sz val="9"/>
    </font>
    <font>
      <name val="Arial"/>
      <i val="1"/>
      <color rgb="00595959"/>
      <sz val="9"/>
    </font>
    <font>
      <name val="Arial"/>
      <color rgb="00008000"/>
      <sz val="10"/>
    </font>
    <font>
      <name val="Arial"/>
      <i val="1"/>
      <sz val="9"/>
    </font>
  </fonts>
  <fills count="6">
    <fill>
      <patternFill/>
    </fill>
    <fill>
      <patternFill patternType="gray125"/>
    </fill>
    <fill>
      <patternFill patternType="solid">
        <fgColor rgb="001F3864"/>
      </patternFill>
    </fill>
    <fill>
      <patternFill patternType="solid">
        <fgColor rgb="00EDEDED"/>
      </patternFill>
    </fill>
    <fill>
      <patternFill patternType="solid">
        <fgColor rgb="00FFF2CC"/>
      </patternFill>
    </fill>
    <fill>
      <patternFill patternType="solid">
        <fgColor rgb="00E8F0F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4" fillId="0" borderId="1" applyAlignment="1" pivotButton="0" quotePrefix="0" xfId="0">
      <alignment vertical="top" wrapText="1"/>
    </xf>
    <xf numFmtId="0" fontId="4" fillId="5" borderId="1" applyAlignment="1" pivotButton="0" quotePrefix="0" xfId="0">
      <alignment horizontal="center" vertical="top" wrapText="1"/>
    </xf>
    <xf numFmtId="0" fontId="3" fillId="2" borderId="0" pivotButton="0" quotePrefix="0" xfId="0"/>
    <xf numFmtId="0" fontId="0" fillId="2" borderId="0" pivotButton="0" quotePrefix="0" xfId="0"/>
    <xf numFmtId="2" fontId="5" fillId="5" borderId="1" applyAlignment="1" pivotButton="0" quotePrefix="0" xfId="0">
      <alignment vertical="top" wrapText="1"/>
    </xf>
    <xf numFmtId="2" fontId="4" fillId="5" borderId="1" applyAlignment="1" pivotButton="0" quotePrefix="0" xfId="0">
      <alignment vertical="top" wrapText="1"/>
    </xf>
    <xf numFmtId="0" fontId="12" fillId="3" borderId="1" applyAlignment="1" pivotButton="0" quotePrefix="0" xfId="0">
      <alignment vertical="top" wrapText="1"/>
    </xf>
    <xf numFmtId="0" fontId="12" fillId="0" borderId="0" pivotButton="0" quotePrefix="0" xfId="0"/>
    <xf numFmtId="0" fontId="7" fillId="0" borderId="0" pivotButton="0" quotePrefix="0" xfId="0"/>
    <xf numFmtId="0" fontId="8" fillId="4" borderId="1" applyAlignment="1" pivotButton="0" quotePrefix="0" xfId="0">
      <alignment vertical="top" wrapText="1"/>
    </xf>
    <xf numFmtId="0" fontId="4" fillId="3" borderId="1" pivotButton="0" quotePrefix="0" xfId="0"/>
    <xf numFmtId="0" fontId="9" fillId="0" borderId="0" pivotButton="0" quotePrefix="0" xfId="0"/>
    <xf numFmtId="0" fontId="10" fillId="0" borderId="0" pivotButton="0" quotePrefix="0" xfId="0"/>
    <xf numFmtId="0" fontId="5" fillId="5" borderId="1" applyAlignment="1" pivotButton="0" quotePrefix="0" xfId="0">
      <alignment vertical="top" wrapText="1"/>
    </xf>
    <xf numFmtId="0" fontId="4" fillId="5" borderId="0" pivotButton="0" quotePrefix="0" xfId="0"/>
    <xf numFmtId="0" fontId="5" fillId="5" borderId="1" applyAlignment="1" pivotButton="0" quotePrefix="0" xfId="0">
      <alignment horizontal="center" vertical="top" wrapText="1"/>
    </xf>
    <xf numFmtId="0" fontId="11" fillId="5" borderId="1" applyAlignment="1" pivotButton="0" quotePrefix="0" xfId="0">
      <alignment horizontal="center" vertical="top" wrapText="1"/>
    </xf>
    <xf numFmtId="164" fontId="5" fillId="5" borderId="1" applyAlignment="1" pivotButton="0" quotePrefix="0" xfId="0">
      <alignment vertical="top" wrapText="1"/>
    </xf>
    <xf numFmtId="0" fontId="7" fillId="3" borderId="1" applyAlignment="1" pivotButton="0" quotePrefix="0" xfId="0">
      <alignment vertical="top" wrapText="1"/>
    </xf>
    <xf numFmtId="4" fontId="8" fillId="4" borderId="1" applyAlignment="1" pivotButton="0" quotePrefix="0" xfId="0">
      <alignment vertical="top" wrapText="1"/>
    </xf>
    <xf numFmtId="4" fontId="5" fillId="5" borderId="1" applyAlignment="1" pivotButton="0" quotePrefix="0" xfId="0">
      <alignment vertical="top" wrapText="1"/>
    </xf>
  </cellXfs>
  <cellStyles count="1">
    <cellStyle name="Normal" xfId="0" builtinId="0" hidden="0"/>
  </cellStyles>
  <dxfs count="2">
    <dxf>
      <font>
        <name val="Arial"/>
        <b val="1"/>
        <color rgb="00C00000"/>
      </font>
    </dxf>
    <dxf>
      <font>
        <name val="Arial"/>
        <b val="1"/>
        <color rgb="002E7D3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SSET tool</author>
  </authors>
  <commentList>
    <comment ref="B8" authorId="0" shapeId="0">
      <text>
        <t>CAPEX / OPEX amounts</t>
      </text>
    </comment>
    <comment ref="B9" authorId="0" shapeId="0">
      <text>
        <t>JTB Ref No and Date</t>
      </text>
    </comment>
    <comment ref="B15" authorId="0" shapeId="0">
      <text>
        <t>Open Tender / Registered Suppliers / Shortlisted / Sole Source</t>
      </text>
    </comment>
    <comment ref="B17" authorId="0" shapeId="0">
      <text>
        <t>Include details on installation, commissioning, training and the time period covered</t>
      </text>
    </comment>
  </commentList>
</comments>
</file>

<file path=xl/comments/comment2.xml><?xml version="1.0" encoding="utf-8"?>
<comments xmlns="http://schemas.openxmlformats.org/spreadsheetml/2006/main">
  <authors>
    <author>SSET tool</author>
  </authors>
  <commentList>
    <comment ref="B6" authorId="0" shapeId="0">
      <text>
        <t>Governance Board / DPAC approval etc.</t>
      </text>
    </comment>
    <comment ref="B7" authorId="0" shapeId="0">
      <text>
        <t>if applicable</t>
      </text>
    </comment>
    <comment ref="B8" authorId="0" shapeId="0">
      <text>
        <t>if OPEX</t>
      </text>
    </comment>
    <comment ref="B10" authorId="0" shapeId="0">
      <text>
        <t>Dates of floating, bidders' conference, extensions, closing, opening</t>
      </text>
    </comment>
  </commentList>
</comments>
</file>

<file path=xl/comments/comment3.xml><?xml version="1.0" encoding="utf-8"?>
<comments xmlns="http://schemas.openxmlformats.org/spreadsheetml/2006/main">
  <authors>
    <author>TET tool</author>
  </authors>
  <commentList>
    <comment ref="A6" authorId="0" shapeId="0">
      <text>
        <t>Compliant / Non-compliant</t>
      </text>
    </comment>
    <comment ref="A7" authorId="0" shapeId="0">
      <text>
        <t>Compliant / Non-compliant</t>
      </text>
    </comment>
    <comment ref="A8" authorId="0" shapeId="0">
      <text>
        <t>Compliant / Non-compliant</t>
      </text>
    </comment>
    <comment ref="A9" authorId="0" shapeId="0">
      <text>
        <t>Compliant / Non-compliant</t>
      </text>
    </comment>
    <comment ref="A10" authorId="0" shapeId="0">
      <text>
        <t>List</t>
      </text>
    </comment>
    <comment ref="A11" authorId="0" shapeId="0">
      <text>
        <t>List</t>
      </text>
    </comment>
    <comment ref="A13" authorId="0" shapeId="0">
      <text>
        <t>Qualified / Disqualified</t>
      </text>
    </comment>
    <comment ref="A15" authorId="0" shapeId="0">
      <text>
        <t>Non-compliant if any of the four conditions is Non-compliant or a major non-compliance is listed; otherwise Compliant. Formula - overwrite if the team decides differently.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0B6E4F"/>
    <outlinePr summaryBelow="1" summaryRight="1"/>
    <pageSetUpPr fitToPage="1"/>
  </sheetPr>
  <dimension ref="A1:B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55" customWidth="1" min="2" max="2"/>
  </cols>
  <sheetData>
    <row r="1">
      <c r="A1" s="1" t="inlineStr">
        <is>
          <t>01 Tender &amp; Timeline Header</t>
        </is>
      </c>
    </row>
    <row r="2">
      <c r="A2" s="2" t="inlineStr">
        <is>
          <t>Yellow cells = nothing was found in the report - please fill in. All cells are editable.</t>
        </is>
      </c>
    </row>
    <row r="4" ht="42" customHeight="1">
      <c r="A4" s="3" t="inlineStr">
        <is>
          <t>FIELD</t>
        </is>
      </c>
      <c r="B4" s="3" t="inlineStr">
        <is>
          <t>DETAILS
SCMD/TET/2026/014
[sample_tet_report.docx]</t>
        </is>
      </c>
    </row>
    <row r="5">
      <c r="A5" s="4" t="inlineStr">
        <is>
          <t>Tender No</t>
        </is>
      </c>
      <c r="B5" s="5" t="inlineStr">
        <is>
          <t>SCMD/TET/2026/014</t>
        </is>
      </c>
    </row>
    <row r="6">
      <c r="A6" s="4" t="inlineStr">
        <is>
          <t>User Department</t>
        </is>
      </c>
      <c r="B6" s="5" t="inlineStr">
        <is>
          <t>Network Operations</t>
        </is>
      </c>
    </row>
    <row r="7">
      <c r="A7" s="4" t="inlineStr">
        <is>
          <t>Forwarded by</t>
        </is>
      </c>
      <c r="B7" s="5" t="inlineStr">
        <is>
          <t>Mr. K. Silva, CXO - Network</t>
        </is>
      </c>
    </row>
    <row r="8">
      <c r="A8" s="4" t="inlineStr">
        <is>
          <t>Budget Confirmed</t>
        </is>
      </c>
      <c r="B8" s="5" t="inlineStr">
        <is>
          <t>CAPEX: LKR 48,000,000
OPEX: -</t>
        </is>
      </c>
    </row>
    <row r="9">
      <c r="A9" s="4" t="inlineStr">
        <is>
          <t>Previous JTB Reference (if any)</t>
        </is>
      </c>
      <c r="B9" s="6" t="inlineStr">
        <is>
          <t>JTB Ref No:
Date:</t>
        </is>
      </c>
    </row>
    <row r="10">
      <c r="A10" s="4" t="inlineStr">
        <is>
          <t>Tender Published Date</t>
        </is>
      </c>
      <c r="B10" s="5" t="inlineStr">
        <is>
          <t>03-08-2026</t>
        </is>
      </c>
    </row>
    <row r="11">
      <c r="A11" s="4" t="inlineStr">
        <is>
          <t>Tender Closed Date</t>
        </is>
      </c>
      <c r="B11" s="5" t="inlineStr">
        <is>
          <t>24-08-2026</t>
        </is>
      </c>
    </row>
    <row r="12">
      <c r="A12" s="4" t="inlineStr">
        <is>
          <t>Technical Bid Opened Date</t>
        </is>
      </c>
      <c r="B12" s="5" t="inlineStr">
        <is>
          <t>25-08-2026</t>
        </is>
      </c>
    </row>
    <row r="13">
      <c r="A13" s="4" t="inlineStr">
        <is>
          <t>TET Report Submission Date</t>
        </is>
      </c>
      <c r="B13" s="6" t="n"/>
    </row>
    <row r="14">
      <c r="A14" s="4" t="inlineStr">
        <is>
          <t>Bid Bond Expiry Date(s)</t>
        </is>
      </c>
      <c r="B14" s="5" t="inlineStr">
        <is>
          <t>24-11-2026 (ABC); 30-11-2026 (XYZ); 27-11-2026 (Delta)</t>
        </is>
      </c>
    </row>
    <row r="15">
      <c r="A15" s="4" t="inlineStr">
        <is>
          <t>Method of Tendering</t>
        </is>
      </c>
      <c r="B15" s="5" t="inlineStr">
        <is>
          <t>Open Tender</t>
        </is>
      </c>
    </row>
    <row r="16">
      <c r="A16" s="4" t="inlineStr">
        <is>
          <t>Purpose of Tender</t>
        </is>
      </c>
      <c r="B16" s="6" t="n"/>
    </row>
    <row r="17">
      <c r="A17" s="4" t="inlineStr">
        <is>
          <t>Short Description of Goods/Services</t>
        </is>
      </c>
      <c r="B17" s="5" t="inlineStr">
        <is>
          <t>Supply, installation, commissioning and training for 4 x 60kVA UPS units with 36-month warranty. Delivery within 12 weeks.
etc ...</t>
        </is>
      </c>
    </row>
  </sheetData>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tabColor rgb="000B6E4F"/>
    <outlinePr summaryBelow="1" summaryRight="1"/>
    <pageSetUpPr fitToPage="1"/>
  </sheetPr>
  <dimension ref="A1:B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55" customWidth="1" min="2" max="2"/>
  </cols>
  <sheetData>
    <row r="1">
      <c r="A1" s="1" t="inlineStr">
        <is>
          <t>02 Background Summary</t>
        </is>
      </c>
    </row>
    <row r="2">
      <c r="A2" s="2" t="inlineStr">
        <is>
          <t>Yellow cells = nothing was found in the report - please fill in. All cells are editable.</t>
        </is>
      </c>
    </row>
    <row r="4" ht="42" customHeight="1">
      <c r="A4" s="3" t="inlineStr">
        <is>
          <t>FIELD</t>
        </is>
      </c>
      <c r="B4" s="3" t="inlineStr">
        <is>
          <t>DETAILS
SCMD/TET/2026/014
[sample_tet_report.docx]</t>
        </is>
      </c>
    </row>
    <row r="5">
      <c r="A5" s="4" t="inlineStr">
        <is>
          <t>How the need arose</t>
        </is>
      </c>
      <c r="B5" s="5" t="inlineStr">
        <is>
          <t>Existing UPS units reached end of life; replacement required under the DC upgrade project.
extend etc.
… etc…..</t>
        </is>
      </c>
    </row>
    <row r="6">
      <c r="A6" s="4" t="inlineStr">
        <is>
          <t>Relevant Approval</t>
        </is>
      </c>
      <c r="B6" s="5" t="inlineStr">
        <is>
          <t>Governance Board approval GB/2026/18 dated 12-06-2026.</t>
        </is>
      </c>
    </row>
    <row r="7">
      <c r="A7" s="4" t="inlineStr">
        <is>
          <t>Project No. &amp; Name</t>
        </is>
      </c>
      <c r="B7" s="5" t="inlineStr">
        <is>
          <t>PRJ-2026-044 Regional DC Upgrade</t>
        </is>
      </c>
    </row>
    <row r="8">
      <c r="A8" s="4" t="inlineStr">
        <is>
          <t>Account Code &amp; Cost Center</t>
        </is>
      </c>
      <c r="B8" s="5" t="inlineStr">
        <is>
          <t>N/A (CAPEX)</t>
        </is>
      </c>
    </row>
    <row r="9">
      <c r="A9" s="4" t="inlineStr">
        <is>
          <t>Budget Reserved/Total Available</t>
        </is>
      </c>
      <c r="B9" s="5" t="inlineStr">
        <is>
          <t>LKR 48M of LKR 120M</t>
        </is>
      </c>
    </row>
    <row r="10">
      <c r="A10" s="4" t="inlineStr">
        <is>
          <t>Procurement process up to bid opening</t>
        </is>
      </c>
      <c r="B10" s="5" t="inlineStr">
        <is>
          <t>Tender floated 03-08-2026; bidders' conference 10-08-2026; one 5-day extension; closed 24-08-2026; opened 25-08-2026.
Tender Timeline</t>
        </is>
      </c>
    </row>
  </sheetData>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0B6E4F"/>
    <outlinePr summaryBelow="1" summaryRight="1"/>
    <pageSetUpPr fitToPage="1"/>
  </sheetPr>
  <dimension ref="A1:D11"/>
  <sheetViews>
    <sheetView showGridLines="0" workbookViewId="0">
      <pane xSplit="1" topLeftCell="B1" activePane="topRight" state="frozen"/>
      <selection pane="topRight" activeCell="A1" sqref="A1"/>
    </sheetView>
  </sheetViews>
  <sheetFormatPr baseColWidth="8" defaultRowHeight="15"/>
  <cols>
    <col width="46" customWidth="1" min="1" max="1"/>
    <col width="34" customWidth="1" min="2" max="2"/>
    <col width="34" customWidth="1" min="3" max="3"/>
    <col width="34" customWidth="1" min="4" max="4"/>
  </cols>
  <sheetData>
    <row r="1">
      <c r="A1" s="1" t="inlineStr">
        <is>
          <t>3. Bidder Details Table (key comparison table)</t>
        </is>
      </c>
    </row>
    <row r="2">
      <c r="A2" s="2" t="inlineStr">
        <is>
          <t>Yellow cells = nothing was found in the report - please fill in. All cells are editable.</t>
        </is>
      </c>
    </row>
    <row r="4">
      <c r="A4" s="7" t="inlineStr">
        <is>
          <t>Report: SCMD/TET/2026/014 [sample_tet_report.docx]</t>
        </is>
      </c>
    </row>
    <row r="5" ht="30" customHeight="1">
      <c r="A5" s="3" t="inlineStr">
        <is>
          <t>FIELD</t>
        </is>
      </c>
      <c r="B5" s="3" t="inlineStr">
        <is>
          <t>BIDDER 1
ABC Power (Pvt) Ltd</t>
        </is>
      </c>
      <c r="C5" s="3" t="inlineStr">
        <is>
          <t>BIDDER 2
XYZ Energy Solutions</t>
        </is>
      </c>
      <c r="D5" s="3" t="inlineStr">
        <is>
          <t>BIDDER 3
Delta Power Ltd</t>
        </is>
      </c>
    </row>
    <row r="6">
      <c r="A6" s="4" t="inlineStr">
        <is>
          <t>Bidder's Name</t>
        </is>
      </c>
      <c r="B6" s="8" t="inlineStr">
        <is>
          <t>ABC Power (Pvt) Ltd</t>
        </is>
      </c>
      <c r="C6" s="8" t="inlineStr">
        <is>
          <t>XYZ Energy Solutions</t>
        </is>
      </c>
      <c r="D6" s="8" t="inlineStr">
        <is>
          <t>Delta Power Ltd</t>
        </is>
      </c>
    </row>
    <row r="7">
      <c r="A7" s="4" t="inlineStr">
        <is>
          <t>Local Agent</t>
        </is>
      </c>
      <c r="B7" s="5" t="inlineStr">
        <is>
          <t>Yes - Mr. Fernando</t>
        </is>
      </c>
      <c r="C7" s="5" t="inlineStr">
        <is>
          <t>No</t>
        </is>
      </c>
      <c r="D7" s="5" t="inlineStr">
        <is>
          <t>Yes - Ms. Perera</t>
        </is>
      </c>
    </row>
    <row r="8">
      <c r="A8" s="4" t="inlineStr">
        <is>
          <t>Letter of Authority (Yes/No)</t>
        </is>
      </c>
      <c r="B8" s="5" t="inlineStr">
        <is>
          <t>Yes</t>
        </is>
      </c>
      <c r="C8" s="5" t="inlineStr">
        <is>
          <t>No</t>
        </is>
      </c>
      <c r="D8" s="5" t="inlineStr">
        <is>
          <t>Yes</t>
        </is>
      </c>
    </row>
    <row r="9">
      <c r="A9" s="4" t="inlineStr">
        <is>
          <t>Product Brand &amp; Model</t>
        </is>
      </c>
      <c r="B9" s="5" t="inlineStr">
        <is>
          <t>Eaton 93PM 60kVA</t>
        </is>
      </c>
      <c r="C9" s="5" t="inlineStr">
        <is>
          <t>Schneider Galaxy VS 60kVA</t>
        </is>
      </c>
      <c r="D9" s="5" t="inlineStr">
        <is>
          <t>Vertiv Liebert APM 60kVA</t>
        </is>
      </c>
    </row>
    <row r="10">
      <c r="A10" s="4" t="inlineStr">
        <is>
          <t>Bid Validity (as stated in bid)</t>
        </is>
      </c>
      <c r="B10" s="5" t="inlineStr">
        <is>
          <t>120 days</t>
        </is>
      </c>
      <c r="C10" s="5" t="inlineStr">
        <is>
          <t>90 days</t>
        </is>
      </c>
      <c r="D10" s="5" t="inlineStr">
        <is>
          <t>120 days</t>
        </is>
      </c>
    </row>
    <row r="11">
      <c r="A11" s="4" t="inlineStr">
        <is>
          <t>Bid Bond Expiry Date</t>
        </is>
      </c>
      <c r="B11" s="5" t="inlineStr">
        <is>
          <t>24-11-2026</t>
        </is>
      </c>
      <c r="C11" s="5" t="inlineStr">
        <is>
          <t>30-11-2026</t>
        </is>
      </c>
      <c r="D11" s="5" t="inlineStr">
        <is>
          <t>27-11-2026</t>
        </is>
      </c>
    </row>
  </sheetData>
  <dataValidations count="1">
    <dataValidation sqref="B8 C8 D8"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0B6E4F"/>
    <outlinePr summaryBelow="1" summaryRight="1"/>
    <pageSetUpPr fitToPage="1"/>
  </sheetPr>
  <dimension ref="A1:D15"/>
  <sheetViews>
    <sheetView showGridLines="0" workbookViewId="0">
      <pane xSplit="1" topLeftCell="B1" activePane="topRight" state="frozen"/>
      <selection pane="topRight" activeCell="A1" sqref="A1"/>
    </sheetView>
  </sheetViews>
  <sheetFormatPr baseColWidth="8" defaultRowHeight="15"/>
  <cols>
    <col width="46" customWidth="1" min="1" max="1"/>
    <col width="34" customWidth="1" min="2" max="2"/>
    <col width="34" customWidth="1" min="3" max="3"/>
    <col width="34" customWidth="1" min="4" max="4"/>
  </cols>
  <sheetData>
    <row r="1">
      <c r="A1" s="1" t="inlineStr">
        <is>
          <t>4. Compliance Evaluation Table</t>
        </is>
      </c>
    </row>
    <row r="2">
      <c r="A2" s="2" t="inlineStr">
        <is>
          <t>Yellow cells = nothing was found in the report - please fill in. All cells are editable.</t>
        </is>
      </c>
    </row>
    <row r="4">
      <c r="A4" s="7" t="inlineStr">
        <is>
          <t>Report: SCMD/TET/2026/014 [sample_tet_report.docx]</t>
        </is>
      </c>
    </row>
    <row r="5" ht="30" customHeight="1">
      <c r="A5" s="3" t="inlineStr">
        <is>
          <t>FIELD</t>
        </is>
      </c>
      <c r="B5" s="3" t="inlineStr">
        <is>
          <t>BIDDER 1
ABC Power (Pvt) Ltd</t>
        </is>
      </c>
      <c r="C5" s="3" t="inlineStr">
        <is>
          <t>BIDDER 2
XYZ Energy Solutions</t>
        </is>
      </c>
      <c r="D5" s="3" t="inlineStr">
        <is>
          <t>BIDDER 3
Delta Power Ltd</t>
        </is>
      </c>
    </row>
    <row r="6">
      <c r="A6" s="4" t="inlineStr">
        <is>
          <t>Compliance with General Conditions</t>
        </is>
      </c>
      <c r="B6" s="6" t="n"/>
      <c r="C6" s="6" t="n"/>
      <c r="D6" s="6" t="n"/>
    </row>
    <row r="7">
      <c r="A7" s="4" t="inlineStr">
        <is>
          <t>Compliance with Technical Conditions</t>
        </is>
      </c>
      <c r="B7" s="6" t="n"/>
      <c r="C7" s="6" t="n"/>
      <c r="D7" s="6" t="n"/>
    </row>
    <row r="8">
      <c r="A8" s="4" t="inlineStr">
        <is>
          <t>Compliance with Special Conditions</t>
        </is>
      </c>
      <c r="B8" s="6" t="n"/>
      <c r="C8" s="6" t="n"/>
      <c r="D8" s="6" t="n"/>
    </row>
    <row r="9">
      <c r="A9" s="4" t="inlineStr">
        <is>
          <t>Compliance with Contract Conditions</t>
        </is>
      </c>
      <c r="B9" s="6" t="n"/>
      <c r="C9" s="6" t="n"/>
      <c r="D9" s="6" t="n"/>
    </row>
    <row r="10">
      <c r="A10" s="4" t="inlineStr">
        <is>
          <t>Major Non-compliances (disqualifying)</t>
        </is>
      </c>
      <c r="B10" s="6" t="n"/>
      <c r="C10" s="6" t="n"/>
      <c r="D10" s="6" t="n"/>
    </row>
    <row r="11">
      <c r="A11" s="4" t="inlineStr">
        <is>
          <t>Minor/Acceptable Non-compliances</t>
        </is>
      </c>
      <c r="B11" s="5" t="inlineStr">
        <is>
          <t>3-year warranty quoted instead of 5-year</t>
        </is>
      </c>
      <c r="C11" s="6" t="n"/>
      <c r="D11" s="6" t="n"/>
    </row>
    <row r="12">
      <c r="A12" s="4" t="inlineStr">
        <is>
          <t>Impact of Non-compliances</t>
        </is>
      </c>
      <c r="B12" s="6" t="n"/>
      <c r="C12" s="5" t="inlineStr">
        <is>
          <t>Cannot meet the critical backup requirement</t>
        </is>
      </c>
      <c r="D12" s="6" t="n"/>
    </row>
    <row r="13">
      <c r="A13" s="4" t="inlineStr">
        <is>
          <t>Qualified / Disqualified</t>
        </is>
      </c>
      <c r="B13" s="5" t="inlineStr">
        <is>
          <t>Qualified</t>
        </is>
      </c>
      <c r="C13" s="5" t="inlineStr">
        <is>
          <t>Disqualified</t>
        </is>
      </c>
      <c r="D13" s="5" t="inlineStr">
        <is>
          <t>Qualified</t>
        </is>
      </c>
    </row>
    <row r="14">
      <c r="A14" s="4" t="inlineStr">
        <is>
          <t>Commercial terms to be negotiated (non-compliance to financial terms)</t>
        </is>
      </c>
      <c r="B14" s="5" t="inlineStr">
        <is>
          <t>payment terms to be revised to 30/60/10</t>
        </is>
      </c>
      <c r="C14" s="6" t="n"/>
      <c r="D14" s="5" t="inlineStr">
        <is>
          <t>LD clause to be negotiated</t>
        </is>
      </c>
    </row>
    <row r="15">
      <c r="A15" s="4" t="inlineStr">
        <is>
          <t>OVERALL: Compliant / Non-compliant (auto)</t>
        </is>
      </c>
      <c r="B15" s="9">
        <f>IF(AND(COUNTA(B6:B9)=0,B10=""),"",IF(OR(COUNTIF(B6:B9,"Non-compliant")&gt;0,AND(B10&lt;&gt;"",ISERROR(MATCH(LOWER(TRIM(B10)),{"none","nil","n/a","-","no"},0)))),"Non-compliant","Compliant"))</f>
        <v/>
      </c>
      <c r="C15" s="9">
        <f>IF(AND(COUNTA(C6:C9)=0,C10=""),"",IF(OR(COUNTIF(C6:C9,"Non-compliant")&gt;0,AND(C10&lt;&gt;"",ISERROR(MATCH(LOWER(TRIM(C10)),{"none","nil","n/a","-","no"},0)))),"Non-compliant","Compliant"))</f>
        <v/>
      </c>
      <c r="D15" s="9">
        <f>IF(AND(COUNTA(D6:D9)=0,D10=""),"",IF(OR(COUNTIF(D6:D9,"Non-compliant")&gt;0,AND(D10&lt;&gt;"",ISERROR(MATCH(LOWER(TRIM(D10)),{"none","nil","n/a","-","no"},0)))),"Non-compliant","Compliant"))</f>
        <v/>
      </c>
    </row>
  </sheetData>
  <conditionalFormatting sqref="B15:D15">
    <cfRule type="cellIs" priority="1" operator="equal" dxfId="0">
      <formula>"Non-compliant"</formula>
    </cfRule>
    <cfRule type="cellIs" priority="2" operator="equal" dxfId="1">
      <formula>"Compliant"</formula>
    </cfRule>
  </conditionalFormatting>
  <dataValidations count="2">
    <dataValidation sqref="B6 B7 B8 B9 C6 C7 C8 C9 D6 D7 D8 D9" showDropDown="0" showInputMessage="0" showErrorMessage="0" allowBlank="1" type="list">
      <formula1>"Compliant,Non-compliant"</formula1>
    </dataValidation>
    <dataValidation sqref="B13 C13 D13" showDropDown="0" showInputMessage="0" showErrorMessage="0" allowBlank="1" type="list">
      <formula1>"Qualified,Disqualified"</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0B6E4F"/>
    <outlinePr summaryBelow="1" summaryRight="1"/>
    <pageSetUpPr fitToPage="1"/>
  </sheetPr>
  <dimension ref="A1:D19"/>
  <sheetViews>
    <sheetView showGridLines="0" workbookViewId="0">
      <pane xSplit="1" topLeftCell="B1" activePane="topRight" state="frozen"/>
      <selection pane="topRight" activeCell="A1" sqref="A1"/>
    </sheetView>
  </sheetViews>
  <sheetFormatPr baseColWidth="8" defaultRowHeight="15"/>
  <cols>
    <col width="46" customWidth="1" min="1" max="1"/>
    <col width="34" customWidth="1" min="2" max="2"/>
    <col width="34" customWidth="1" min="3" max="3"/>
    <col width="34" customWidth="1" min="4" max="4"/>
  </cols>
  <sheetData>
    <row r="1">
      <c r="A1" s="1" t="inlineStr">
        <is>
          <t>5. Recommendations for Commercial Evaluation</t>
        </is>
      </c>
    </row>
    <row r="2">
      <c r="A2" s="2" t="inlineStr">
        <is>
          <t>Yellow cells = nothing was found in the report - please fill in. All cells are editable.</t>
        </is>
      </c>
    </row>
    <row r="4">
      <c r="A4" s="7" t="inlineStr">
        <is>
          <t>Report: SCMD/TET/2026/014 [sample_tet_report.docx]</t>
        </is>
      </c>
    </row>
    <row r="5" ht="30" customHeight="1">
      <c r="A5" s="3" t="inlineStr">
        <is>
          <t>FIELD</t>
        </is>
      </c>
      <c r="B5" s="3" t="inlineStr">
        <is>
          <t>BIDDER 1
ABC Power (Pvt) Ltd</t>
        </is>
      </c>
      <c r="C5" s="3" t="inlineStr">
        <is>
          <t>BIDDER 2
XYZ Energy Solutions</t>
        </is>
      </c>
      <c r="D5" s="3" t="inlineStr">
        <is>
          <t>BIDDER 3
Delta Power Ltd</t>
        </is>
      </c>
    </row>
    <row r="6">
      <c r="A6" s="4" t="inlineStr">
        <is>
          <t>Compliant / Non-compliant (from Table 4)</t>
        </is>
      </c>
      <c r="B6" s="9">
        <f>'04 Compliance Evaluation'!B15</f>
        <v/>
      </c>
      <c r="C6" s="9">
        <f>'04 Compliance Evaluation'!C15</f>
        <v/>
      </c>
      <c r="D6" s="9">
        <f>'04 Compliance Evaluation'!D15</f>
        <v/>
      </c>
    </row>
    <row r="7">
      <c r="A7" s="4" t="inlineStr">
        <is>
          <t>Recommended for Financial Bid Opening (Yes/No)</t>
        </is>
      </c>
      <c r="B7" s="5" t="inlineStr">
        <is>
          <t>Yes</t>
        </is>
      </c>
      <c r="C7" s="5" t="inlineStr">
        <is>
          <t>No</t>
        </is>
      </c>
      <c r="D7" s="5" t="inlineStr">
        <is>
          <t>Yes</t>
        </is>
      </c>
    </row>
    <row r="8">
      <c r="A8" s="4" t="inlineStr">
        <is>
          <t>Evaluated BOM included? (Yes/No)</t>
        </is>
      </c>
      <c r="B8" s="5" t="inlineStr">
        <is>
          <t>Yes</t>
        </is>
      </c>
      <c r="C8" s="5" t="inlineStr">
        <is>
          <t>Yes</t>
        </is>
      </c>
      <c r="D8" s="5" t="inlineStr">
        <is>
          <t>Yes</t>
        </is>
      </c>
    </row>
    <row r="9">
      <c r="A9" s="4" t="inlineStr">
        <is>
          <t>Missing price items needing separate sealed envelope? (Yes/No - list items)</t>
        </is>
      </c>
      <c r="B9" s="6" t="n"/>
      <c r="C9" s="6" t="n"/>
      <c r="D9" s="6" t="n"/>
    </row>
    <row r="10">
      <c r="A10" s="4" t="inlineStr">
        <is>
          <t>Previous purchase price (with period &amp; quantity)</t>
        </is>
      </c>
      <c r="B10" s="5" t="inlineStr">
        <is>
          <t>2024 - 3 units of 60kVA UPS at LKR 3.1M each</t>
        </is>
      </c>
      <c r="C10" s="5" t="inlineStr">
        <is>
          <t>2024 - 3 units of 60kVA UPS at LKR 3.1M each</t>
        </is>
      </c>
      <c r="D10" s="5" t="inlineStr">
        <is>
          <t>2024 - 3 units of 60kVA UPS at LKR 3.1M each</t>
        </is>
      </c>
    </row>
    <row r="11">
      <c r="A11" s="4" t="inlineStr">
        <is>
          <t>Reference price of similar items (market/previous)</t>
        </is>
      </c>
      <c r="B11" s="6" t="n"/>
      <c r="C11" s="6" t="n"/>
      <c r="D11" s="6" t="n"/>
    </row>
    <row r="12">
      <c r="A12" s="4" t="inlineStr">
        <is>
          <t>More Suitable (as stated in the TET report)</t>
        </is>
      </c>
      <c r="B12" s="5" t="inlineStr">
        <is>
          <t>1st place</t>
        </is>
      </c>
      <c r="C12" s="6" t="n"/>
      <c r="D12" s="5" t="inlineStr">
        <is>
          <t>2nd place</t>
        </is>
      </c>
    </row>
    <row r="14">
      <c r="A14" s="10" t="inlineStr">
        <is>
          <t>SCORES AND PLACE (calculated on sheet 06 - Procurement Manual Part II, Section 6)</t>
        </is>
      </c>
      <c r="B14" s="11" t="n"/>
      <c r="C14" s="11" t="n"/>
      <c r="D14" s="11" t="n"/>
    </row>
    <row r="15">
      <c r="A15" s="4" t="inlineStr">
        <is>
          <t>Technical score (/100)</t>
        </is>
      </c>
      <c r="B15" s="12">
        <f>IF('06 Scores &amp; Ranking'!D36="","",'06 Scores &amp; Ranking'!D36)</f>
        <v/>
      </c>
      <c r="C15" s="12">
        <f>IF('06 Scores &amp; Ranking'!E36="","",'06 Scores &amp; Ranking'!E36)</f>
        <v/>
      </c>
      <c r="D15" s="12">
        <f>IF('06 Scores &amp; Ranking'!F36="","",'06 Scores &amp; Ranking'!F36)</f>
        <v/>
      </c>
    </row>
    <row r="16">
      <c r="A16" s="4" t="inlineStr">
        <is>
          <t>Commercial score (/100)</t>
        </is>
      </c>
      <c r="B16" s="12">
        <f>IF('06 Scores &amp; Ranking'!D40="","",'06 Scores &amp; Ranking'!D40)</f>
        <v/>
      </c>
      <c r="C16" s="12">
        <f>IF('06 Scores &amp; Ranking'!E40="","",'06 Scores &amp; Ranking'!E40)</f>
        <v/>
      </c>
      <c r="D16" s="12">
        <f>IF('06 Scores &amp; Ranking'!F40="","",'06 Scores &amp; Ranking'!F40)</f>
        <v/>
      </c>
    </row>
    <row r="17">
      <c r="A17" s="4" t="inlineStr">
        <is>
          <t>Final score</t>
        </is>
      </c>
      <c r="B17" s="13">
        <f>IF('06 Scores &amp; Ranking'!D41="","",'06 Scores &amp; Ranking'!D41)</f>
        <v/>
      </c>
      <c r="C17" s="13">
        <f>IF('06 Scores &amp; Ranking'!E41="","",'06 Scores &amp; Ranking'!E41)</f>
        <v/>
      </c>
      <c r="D17" s="13">
        <f>IF('06 Scores &amp; Ranking'!F41="","",'06 Scores &amp; Ranking'!F41)</f>
        <v/>
      </c>
    </row>
    <row r="18">
      <c r="A18" s="4" t="inlineStr">
        <is>
          <t>PLACE (1st / 2nd / 3rd ...)</t>
        </is>
      </c>
      <c r="B18" s="9">
        <f>IF('06 Scores &amp; Ranking'!D42="","",'06 Scores &amp; Ranking'!D42)</f>
        <v/>
      </c>
      <c r="C18" s="9">
        <f>IF('06 Scores &amp; Ranking'!E42="","",'06 Scores &amp; Ranking'!E42)</f>
        <v/>
      </c>
      <c r="D18" s="9">
        <f>IF('06 Scores &amp; Ranking'!F42="","",'06 Scores &amp; Ranking'!F42)</f>
        <v/>
      </c>
    </row>
    <row r="19">
      <c r="A19" s="14" t="inlineStr">
        <is>
          <t>Ranking basis</t>
        </is>
      </c>
      <c r="B19" s="15">
        <f>'06 Scores &amp; Ranking'!B21</f>
        <v/>
      </c>
    </row>
  </sheetData>
  <conditionalFormatting sqref="B6:D6">
    <cfRule type="cellIs" priority="1" operator="equal" dxfId="0">
      <formula>"Non-compliant"</formula>
    </cfRule>
    <cfRule type="cellIs" priority="2" operator="equal" dxfId="1">
      <formula>"Compliant"</formula>
    </cfRule>
  </conditionalFormatting>
  <dataValidations count="1">
    <dataValidation sqref="B7 B8 C7 C8 D7 D8"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B6E4F"/>
    <outlinePr summaryBelow="1" summaryRight="1"/>
    <pageSetUpPr fitToPage="1"/>
  </sheetPr>
  <dimension ref="A1:F42"/>
  <sheetViews>
    <sheetView showGridLines="0" workbookViewId="0">
      <selection activeCell="A1" sqref="A1"/>
    </sheetView>
  </sheetViews>
  <sheetFormatPr baseColWidth="8" defaultRowHeight="15"/>
  <cols>
    <col width="52" customWidth="1" min="1" max="1"/>
    <col width="20" customWidth="1" min="2" max="2"/>
    <col width="10" customWidth="1" min="3" max="3"/>
    <col width="26" customWidth="1" min="4" max="4"/>
    <col width="26" customWidth="1" min="5" max="5"/>
    <col width="26" customWidth="1" min="6" max="6"/>
  </cols>
  <sheetData>
    <row r="1">
      <c r="A1" s="1" t="inlineStr">
        <is>
          <t>06 Scores &amp; Ranking (Procurement Manual Part II, Section 6)</t>
        </is>
      </c>
    </row>
    <row r="2">
      <c r="A2" s="2" t="inlineStr">
        <is>
          <t>Light-blue = calculated (overwrite if needed). Yellow/blue = type here. Place is calculated from the scores.</t>
        </is>
      </c>
    </row>
    <row r="4">
      <c r="A4" s="16" t="inlineStr">
        <is>
          <t>SCORING SCALES - editable. Source: Procurement Manual Part II, Section 6, 5.1.4 (importance) and 5.1.5 (compliance scale)</t>
        </is>
      </c>
    </row>
    <row r="5">
      <c r="A5" s="3" t="inlineStr">
        <is>
          <t>Importance</t>
        </is>
      </c>
      <c r="B5" s="3" t="inlineStr">
        <is>
          <t>Weight</t>
        </is>
      </c>
      <c r="D5" s="3" t="inlineStr">
        <is>
          <t>Degree of compliance</t>
        </is>
      </c>
      <c r="E5" s="3" t="inlineStr">
        <is>
          <t>Score</t>
        </is>
      </c>
    </row>
    <row r="6">
      <c r="A6" s="4" t="inlineStr">
        <is>
          <t>Most Important</t>
        </is>
      </c>
      <c r="B6" s="17" t="n">
        <v>60</v>
      </c>
      <c r="D6" s="18" t="inlineStr">
        <is>
          <t>Comply</t>
        </is>
      </c>
      <c r="E6" s="17" t="n">
        <v>10</v>
      </c>
    </row>
    <row r="7">
      <c r="A7" s="4" t="inlineStr">
        <is>
          <t>Important</t>
        </is>
      </c>
      <c r="B7" s="17" t="n">
        <v>30</v>
      </c>
      <c r="D7" s="18" t="inlineStr">
        <is>
          <t>Partial Comply</t>
        </is>
      </c>
      <c r="E7" s="17" t="n">
        <v>5</v>
      </c>
    </row>
    <row r="8">
      <c r="A8" s="4" t="inlineStr">
        <is>
          <t>Least Important</t>
        </is>
      </c>
      <c r="B8" s="17" t="n">
        <v>10</v>
      </c>
      <c r="D8" s="18" t="inlineStr">
        <is>
          <t>Non Comply</t>
        </is>
      </c>
      <c r="E8" s="17" t="n">
        <v>0</v>
      </c>
    </row>
    <row r="10">
      <c r="A10" s="19" t="inlineStr">
        <is>
          <t>Assumptions (not fixed by the Manual - set per tender before bids open; edit as approved in the tender strategy):</t>
        </is>
      </c>
    </row>
    <row r="11">
      <c r="A11" s="20" t="inlineStr">
        <is>
          <t xml:space="preserve">  - The four 'Compliance with ... Conditions' rows are pre-scored from Table 4 (Compliant = Comply, Non-compliant = Non Comply). Their importance (Technical = Most, Special = Important, General/Contract = Least) is an assumption.</t>
        </is>
      </c>
    </row>
    <row r="12">
      <c r="A12" s="20" t="inlineStr">
        <is>
          <t xml:space="preserve">  - Add the tender's own scored criteria in the blank rows (importance + degree of compliance per bidder).</t>
        </is>
      </c>
    </row>
    <row r="13">
      <c r="A13" s="20" t="inlineStr">
        <is>
          <t xml:space="preserve">  - Technical score = raw score / maximum x 100. Commercial score = lowest eligible price / bidder price x 100 (Attachment A).</t>
        </is>
      </c>
    </row>
    <row r="14">
      <c r="A14" s="20" t="inlineStr">
        <is>
          <t xml:space="preserve">  - Price weight defaults to 70 : 30 (Part I s.4.7.3, standard equipment); use the weighting approved by TSC / CEO.</t>
        </is>
      </c>
    </row>
    <row r="15">
      <c r="A15" s="20" t="inlineStr">
        <is>
          <t xml:space="preserve">  - Before prices are known the place is a TECHNICAL ranking only. Per the TET ToR it may be used for commercial weighting only if CEO approval was obtained upfront.</t>
        </is>
      </c>
    </row>
    <row r="16">
      <c r="A16" s="20" t="inlineStr">
        <is>
          <t xml:space="preserve">  - A bidder marked 'Disqualified' in Table 4 is not ranked (drop-dead criteria, Part I s.4.7.3).</t>
        </is>
      </c>
    </row>
    <row r="18">
      <c r="A18" s="7" t="inlineStr">
        <is>
          <t>Report: SCMD/TET/2026/014 [sample_tet_report.docx]</t>
        </is>
      </c>
    </row>
    <row r="19">
      <c r="A19" s="4" t="inlineStr">
        <is>
          <t>Price weighting (%)</t>
        </is>
      </c>
      <c r="B19" s="17" t="n">
        <v>70</v>
      </c>
    </row>
    <row r="20">
      <c r="A20" s="4" t="inlineStr">
        <is>
          <t>Technical weighting (%)</t>
        </is>
      </c>
      <c r="B20" s="21">
        <f>100-B19</f>
        <v/>
      </c>
    </row>
    <row r="21">
      <c r="A21" s="4" t="inlineStr">
        <is>
          <t>Ranking basis</t>
        </is>
      </c>
      <c r="B21" s="22">
        <f>IF(AND(COUNT($D$39:$F$39)&gt;0,COUNT($D$39:$F$39)=COUNTIF($D$37:$F$37,"Yes")),"Combined (price + technical)","Technical only (prices not entered yet)")</f>
        <v/>
      </c>
    </row>
    <row r="23" ht="30" customHeight="1">
      <c r="A23" s="3" t="inlineStr">
        <is>
          <t>CRITERION</t>
        </is>
      </c>
      <c r="B23" s="3" t="inlineStr">
        <is>
          <t>IMPORTANCE</t>
        </is>
      </c>
      <c r="C23" s="3" t="inlineStr">
        <is>
          <t>WEIGHT</t>
        </is>
      </c>
      <c r="D23" s="3" t="inlineStr">
        <is>
          <t>BIDDER 1
ABC Power (Pvt) Ltd</t>
        </is>
      </c>
      <c r="E23" s="3" t="inlineStr">
        <is>
          <t>BIDDER 2
XYZ Energy Solutions</t>
        </is>
      </c>
      <c r="F23" s="3" t="inlineStr">
        <is>
          <t>BIDDER 3
Delta Power Ltd</t>
        </is>
      </c>
    </row>
    <row r="24">
      <c r="A24" s="17" t="inlineStr">
        <is>
          <t>Compliance with Technical Conditions</t>
        </is>
      </c>
      <c r="B24" s="17" t="inlineStr">
        <is>
          <t>Most Important</t>
        </is>
      </c>
      <c r="C24" s="23">
        <f>IF(B24="","",IFERROR(INDEX($B$6:$B$8,MATCH(B24,$A$6:$A$8,0)),""))</f>
        <v/>
      </c>
      <c r="D24" s="24">
        <f>IF('04 Compliance Evaluation'!B7="Compliant","Comply",IF('04 Compliance Evaluation'!B7="Non-compliant","Non Comply",""))</f>
        <v/>
      </c>
      <c r="E24" s="24">
        <f>IF('04 Compliance Evaluation'!C7="Compliant","Comply",IF('04 Compliance Evaluation'!C7="Non-compliant","Non Comply",""))</f>
        <v/>
      </c>
      <c r="F24" s="24">
        <f>IF('04 Compliance Evaluation'!D7="Compliant","Comply",IF('04 Compliance Evaluation'!D7="Non-compliant","Non Comply",""))</f>
        <v/>
      </c>
    </row>
    <row r="25">
      <c r="A25" s="17" t="inlineStr">
        <is>
          <t>Compliance with Special Conditions</t>
        </is>
      </c>
      <c r="B25" s="17" t="inlineStr">
        <is>
          <t>Important</t>
        </is>
      </c>
      <c r="C25" s="23">
        <f>IF(B25="","",IFERROR(INDEX($B$6:$B$8,MATCH(B25,$A$6:$A$8,0)),""))</f>
        <v/>
      </c>
      <c r="D25" s="24">
        <f>IF('04 Compliance Evaluation'!B8="Compliant","Comply",IF('04 Compliance Evaluation'!B8="Non-compliant","Non Comply",""))</f>
        <v/>
      </c>
      <c r="E25" s="24">
        <f>IF('04 Compliance Evaluation'!C8="Compliant","Comply",IF('04 Compliance Evaluation'!C8="Non-compliant","Non Comply",""))</f>
        <v/>
      </c>
      <c r="F25" s="24">
        <f>IF('04 Compliance Evaluation'!D8="Compliant","Comply",IF('04 Compliance Evaluation'!D8="Non-compliant","Non Comply",""))</f>
        <v/>
      </c>
    </row>
    <row r="26">
      <c r="A26" s="17" t="inlineStr">
        <is>
          <t>Compliance with General Conditions</t>
        </is>
      </c>
      <c r="B26" s="17" t="inlineStr">
        <is>
          <t>Least Important</t>
        </is>
      </c>
      <c r="C26" s="23">
        <f>IF(B26="","",IFERROR(INDEX($B$6:$B$8,MATCH(B26,$A$6:$A$8,0)),""))</f>
        <v/>
      </c>
      <c r="D26" s="24">
        <f>IF('04 Compliance Evaluation'!B6="Compliant","Comply",IF('04 Compliance Evaluation'!B6="Non-compliant","Non Comply",""))</f>
        <v/>
      </c>
      <c r="E26" s="24">
        <f>IF('04 Compliance Evaluation'!C6="Compliant","Comply",IF('04 Compliance Evaluation'!C6="Non-compliant","Non Comply",""))</f>
        <v/>
      </c>
      <c r="F26" s="24">
        <f>IF('04 Compliance Evaluation'!D6="Compliant","Comply",IF('04 Compliance Evaluation'!D6="Non-compliant","Non Comply",""))</f>
        <v/>
      </c>
    </row>
    <row r="27">
      <c r="A27" s="17" t="inlineStr">
        <is>
          <t>Compliance with Contract Conditions</t>
        </is>
      </c>
      <c r="B27" s="17" t="inlineStr">
        <is>
          <t>Least Important</t>
        </is>
      </c>
      <c r="C27" s="23">
        <f>IF(B27="","",IFERROR(INDEX($B$6:$B$8,MATCH(B27,$A$6:$A$8,0)),""))</f>
        <v/>
      </c>
      <c r="D27" s="24">
        <f>IF('04 Compliance Evaluation'!B9="Compliant","Comply",IF('04 Compliance Evaluation'!B9="Non-compliant","Non Comply",""))</f>
        <v/>
      </c>
      <c r="E27" s="24">
        <f>IF('04 Compliance Evaluation'!C9="Compliant","Comply",IF('04 Compliance Evaluation'!C9="Non-compliant","Non Comply",""))</f>
        <v/>
      </c>
      <c r="F27" s="24">
        <f>IF('04 Compliance Evaluation'!D9="Compliant","Comply",IF('04 Compliance Evaluation'!D9="Non-compliant","Non Comply",""))</f>
        <v/>
      </c>
    </row>
    <row r="28">
      <c r="A28" s="17" t="n"/>
      <c r="B28" s="17" t="n"/>
      <c r="C28" s="23">
        <f>IF(B28="","",IFERROR(INDEX($B$6:$B$8,MATCH(B28,$A$6:$A$8,0)),""))</f>
        <v/>
      </c>
      <c r="D28" s="17" t="n"/>
      <c r="E28" s="17" t="n"/>
      <c r="F28" s="17" t="n"/>
    </row>
    <row r="29">
      <c r="A29" s="17" t="n"/>
      <c r="B29" s="17" t="n"/>
      <c r="C29" s="23">
        <f>IF(B29="","",IFERROR(INDEX($B$6:$B$8,MATCH(B29,$A$6:$A$8,0)),""))</f>
        <v/>
      </c>
      <c r="D29" s="17" t="n"/>
      <c r="E29" s="17" t="n"/>
      <c r="F29" s="17" t="n"/>
    </row>
    <row r="30">
      <c r="A30" s="17" t="n"/>
      <c r="B30" s="17" t="n"/>
      <c r="C30" s="23">
        <f>IF(B30="","",IFERROR(INDEX($B$6:$B$8,MATCH(B30,$A$6:$A$8,0)),""))</f>
        <v/>
      </c>
      <c r="D30" s="17" t="n"/>
      <c r="E30" s="17" t="n"/>
      <c r="F30" s="17" t="n"/>
    </row>
    <row r="31">
      <c r="A31" s="17" t="n"/>
      <c r="B31" s="17" t="n"/>
      <c r="C31" s="23">
        <f>IF(B31="","",IFERROR(INDEX($B$6:$B$8,MATCH(B31,$A$6:$A$8,0)),""))</f>
        <v/>
      </c>
      <c r="D31" s="17" t="n"/>
      <c r="E31" s="17" t="n"/>
      <c r="F31" s="17" t="n"/>
    </row>
    <row r="32">
      <c r="A32" s="17" t="n"/>
      <c r="B32" s="17" t="n"/>
      <c r="C32" s="23">
        <f>IF(B32="","",IFERROR(INDEX($B$6:$B$8,MATCH(B32,$A$6:$A$8,0)),""))</f>
        <v/>
      </c>
      <c r="D32" s="17" t="n"/>
      <c r="E32" s="17" t="n"/>
      <c r="F32" s="17" t="n"/>
    </row>
    <row r="33">
      <c r="A33" s="17" t="n"/>
      <c r="B33" s="17" t="n"/>
      <c r="C33" s="23">
        <f>IF(B33="","",IFERROR(INDEX($B$6:$B$8,MATCH(B33,$A$6:$A$8,0)),""))</f>
        <v/>
      </c>
      <c r="D33" s="17" t="n"/>
      <c r="E33" s="17" t="n"/>
      <c r="F33" s="17" t="n"/>
    </row>
    <row r="34">
      <c r="A34" s="4" t="inlineStr">
        <is>
          <t>Raw score (sum of weight x score)</t>
        </is>
      </c>
      <c r="D34" s="25">
        <f>SUMPRODUCT($C$24:$C$33,(D24:D33="Comply")*$E$6+(D24:D33="Partial Comply")*$E$7+(D24:D33="Non Comply")*$E$8)</f>
        <v/>
      </c>
      <c r="E34" s="25">
        <f>SUMPRODUCT($C$24:$C$33,(E24:E33="Comply")*$E$6+(E24:E33="Partial Comply")*$E$7+(E24:E33="Non Comply")*$E$8)</f>
        <v/>
      </c>
      <c r="F34" s="25">
        <f>SUMPRODUCT($C$24:$C$33,(F24:F33="Comply")*$E$6+(F24:F33="Partial Comply")*$E$7+(F24:F33="Non Comply")*$E$8)</f>
        <v/>
      </c>
    </row>
    <row r="35">
      <c r="A35" s="4" t="inlineStr">
        <is>
          <t>Maximum possible raw score</t>
        </is>
      </c>
      <c r="D35" s="25">
        <f>SUM($C$24:$C$33)*$E$6</f>
        <v/>
      </c>
      <c r="E35" s="25">
        <f>SUM($C$24:$C$33)*$E$6</f>
        <v/>
      </c>
      <c r="F35" s="25">
        <f>SUM($C$24:$C$33)*$E$6</f>
        <v/>
      </c>
    </row>
    <row r="36">
      <c r="A36" s="26" t="inlineStr">
        <is>
          <t>TECHNICAL SCORE (/100)</t>
        </is>
      </c>
      <c r="D36" s="13">
        <f>IF(OR(COUNTIF(D24:D33,"?*")=0,D35=0),"",D34/D35*100)</f>
        <v/>
      </c>
      <c r="E36" s="13">
        <f>IF(OR(COUNTIF(E24:E33,"?*")=0,E35=0),"",E34/E35*100)</f>
        <v/>
      </c>
      <c r="F36" s="13">
        <f>IF(OR(COUNTIF(F24:F33,"?*")=0,F35=0),"",F34/F35*100)</f>
        <v/>
      </c>
    </row>
    <row r="37">
      <c r="A37" s="4" t="inlineStr">
        <is>
          <t>Eligible for ranking? (not disqualified)</t>
        </is>
      </c>
      <c r="D37" s="23">
        <f>IF('04 Compliance Evaluation'!B13="Disqualified","No","Yes")</f>
        <v/>
      </c>
      <c r="E37" s="23">
        <f>IF('04 Compliance Evaluation'!C13="Disqualified","No","Yes")</f>
        <v/>
      </c>
      <c r="F37" s="23">
        <f>IF('04 Compliance Evaluation'!D13="Disqualified","No","Yes")</f>
        <v/>
      </c>
    </row>
    <row r="38">
      <c r="A38" s="4" t="inlineStr">
        <is>
          <t>Evaluated total price (enter when CET prices are known)</t>
        </is>
      </c>
      <c r="D38" s="27" t="n"/>
      <c r="E38" s="27" t="n"/>
      <c r="F38" s="27" t="n"/>
    </row>
    <row r="39">
      <c r="A39" s="4" t="inlineStr">
        <is>
          <t>Price used for comparison (eligible bidders only)</t>
        </is>
      </c>
      <c r="D39" s="28">
        <f>IF(AND(ISNUMBER(D38),D37="Yes"),D38,"")</f>
        <v/>
      </c>
      <c r="E39" s="28">
        <f>IF(AND(ISNUMBER(E38),E37="Yes"),E38,"")</f>
        <v/>
      </c>
      <c r="F39" s="28">
        <f>IF(AND(ISNUMBER(F38),F37="Yes"),F38,"")</f>
        <v/>
      </c>
    </row>
    <row r="40">
      <c r="A40" s="26" t="inlineStr">
        <is>
          <t>COMMERCIAL SCORE (/100, lowest eligible price = 100)</t>
        </is>
      </c>
      <c r="D40" s="13">
        <f>IF(ISNUMBER(D39),MIN($D$39:$F$39)/D39*100,"")</f>
        <v/>
      </c>
      <c r="E40" s="13">
        <f>IF(ISNUMBER(E39),MIN($D$39:$F$39)/E39*100,"")</f>
        <v/>
      </c>
      <c r="F40" s="13">
        <f>IF(ISNUMBER(F39),MIN($D$39:$F$39)/F39*100,"")</f>
        <v/>
      </c>
    </row>
    <row r="41">
      <c r="A41" s="26" t="inlineStr">
        <is>
          <t>FINAL SCORE</t>
        </is>
      </c>
      <c r="D41" s="13">
        <f>IF(AND(D37="Yes",ISNUMBER(D36)),IF(LEFT($B$21,8)="Combined",$B$19/100*D40+$B$20/100*D36,D36),"")</f>
        <v/>
      </c>
      <c r="E41" s="13">
        <f>IF(AND(E37="Yes",ISNUMBER(E36)),IF(LEFT($B$21,8)="Combined",$B$19/100*E40+$B$20/100*E36,E36),"")</f>
        <v/>
      </c>
      <c r="F41" s="13">
        <f>IF(AND(F37="Yes",ISNUMBER(F36)),IF(LEFT($B$21,8)="Combined",$B$19/100*F40+$B$20/100*F36,F36),"")</f>
        <v/>
      </c>
    </row>
    <row r="42">
      <c r="A42" s="26" t="inlineStr">
        <is>
          <t>PLACE</t>
        </is>
      </c>
      <c r="D42" s="9">
        <f>IF(ISNUMBER(D41),RANK(D41,$D$41:$F$41)&amp;CHOOSE(IF(AND(MOD(RANK(D41,$D$41:$F$41),100)&gt;=11,MOD(RANK(D41,$D$41:$F$41),100)&lt;=13),0,MOD(RANK(D41,$D$41:$F$41),10))+1,"th","st","nd","rd","th","th","th","th","th","th"),IF(D37="No","Disqualified",""))</f>
        <v/>
      </c>
      <c r="E42" s="9">
        <f>IF(ISNUMBER(E41),RANK(E41,$D$41:$F$41)&amp;CHOOSE(IF(AND(MOD(RANK(E41,$D$41:$F$41),100)&gt;=11,MOD(RANK(E41,$D$41:$F$41),100)&lt;=13),0,MOD(RANK(E41,$D$41:$F$41),10))+1,"th","st","nd","rd","th","th","th","th","th","th"),IF(E37="No","Disqualified",""))</f>
        <v/>
      </c>
      <c r="F42" s="9">
        <f>IF(ISNUMBER(F41),RANK(F41,$D$41:$F$41)&amp;CHOOSE(IF(AND(MOD(RANK(F41,$D$41:$F$41),100)&gt;=11,MOD(RANK(F41,$D$41:$F$41),100)&lt;=13),0,MOD(RANK(F41,$D$41:$F$41),10))+1,"th","st","nd","rd","th","th","th","th","th","th"),IF(F37="No","Disqualified",""))</f>
        <v/>
      </c>
    </row>
  </sheetData>
  <mergeCells count="1">
    <mergeCell ref="B21:E21"/>
  </mergeCells>
  <dataValidations count="2">
    <dataValidation sqref="B24 B25 B26 B27 B28 B29 B30 B31 B32 B33" showDropDown="0" showInputMessage="0" showErrorMessage="0" allowBlank="1" type="list">
      <formula1>"Most Important,Important,Least Important"</formula1>
    </dataValidation>
    <dataValidation sqref="D24 D25 D26 D27 D28 D29 D30 D31 D32 D33 E24 E25 E26 E27 E28 E29 E30 E31 E32 E33 F24 F25 F26 F27 F28 F29 F30 F31 F32 F33" showDropDown="0" showInputMessage="0" showErrorMessage="0" allowBlank="1" type="list">
      <formula1>"Comply,Partial Comply,Non Comply"</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7F7F7F"/>
    <outlinePr summaryBelow="1" summaryRight="1"/>
    <pageSetUpPr fitToPage="1"/>
  </sheetPr>
  <dimension ref="A1:E4"/>
  <sheetViews>
    <sheetView showGridLines="0" workbookViewId="0">
      <selection activeCell="A1" sqref="A1"/>
    </sheetView>
  </sheetViews>
  <sheetFormatPr baseColWidth="8" defaultRowHeight="15"/>
  <cols>
    <col width="34" customWidth="1" min="1" max="1"/>
    <col width="24" customWidth="1" min="2" max="2"/>
    <col width="14" customWidth="1" min="3" max="3"/>
    <col width="20" customWidth="1" min="4" max="4"/>
    <col width="90" customWidth="1" min="5" max="5"/>
  </cols>
  <sheetData>
    <row r="1">
      <c r="A1" s="1" t="inlineStr">
        <is>
          <t>Extraction Log (for the reviewer - not part of the tables)</t>
        </is>
      </c>
    </row>
    <row r="3">
      <c r="A3" s="3" t="inlineStr">
        <is>
          <t>Source file</t>
        </is>
      </c>
      <c r="B3" s="3" t="inlineStr">
        <is>
          <t>Tender-level fields found</t>
        </is>
      </c>
      <c r="C3" s="3" t="inlineStr">
        <is>
          <t>Bidders found</t>
        </is>
      </c>
      <c r="D3" s="3" t="inlineStr">
        <is>
          <t>Empty bidder cells</t>
        </is>
      </c>
      <c r="E3" s="3" t="inlineStr">
        <is>
          <t>Notes</t>
        </is>
      </c>
    </row>
    <row r="4">
      <c r="A4" s="5" t="inlineStr">
        <is>
          <t>sample_tet_report.docx</t>
        </is>
      </c>
      <c r="B4" s="5" t="inlineStr">
        <is>
          <t>15 of 17</t>
        </is>
      </c>
      <c r="C4" s="5" t="n">
        <v>3</v>
      </c>
      <c r="D4" s="5" t="inlineStr">
        <is>
          <t>26 of 60</t>
        </is>
      </c>
      <c r="E4" s="5" t="inlineStr">
        <is>
          <t>Evaluated BOM included?: no per-bidder breakdown found - same text copied to every bidder; please split it.
Previous purchase price: no per-bidder breakdown found - same text copied to every bidder; please split it.
Bidder 1: status set to 'Qualified' because it is recommended for financial opening - please verify.
Bidder 3: status set to 'Qualified' because it is recommended for financial opening - please verify.
Not found: TET Report Submission Date; Purpose of Tender
Scores/place (sheet 06) are calculated from Table 4 compliance and any criteria/prices typed in - the TET report itself is not read for scores.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2026-10-29T14:41:33Z</dcterms:created>
  <dcterms:modified xmlns:dcterms="http://purl.org/dc/terms/" xmlns:xsi="http://www.w3.org/2001/XMLSchema-instance" xsi:type="dcterms:W3CDTF">2026-10-29T14:41:33Z</dcterms:modified>
</cp:coreProperties>
</file>